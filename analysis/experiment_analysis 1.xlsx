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New Project/"/>
    </mc:Choice>
  </mc:AlternateContent>
  <xr:revisionPtr revIDLastSave="430" documentId="8_{38235F33-B13C-409C-B522-EAED2C151F92}" xr6:coauthVersionLast="47" xr6:coauthVersionMax="47" xr10:uidLastSave="{15A85632-D116-4653-8628-E11A280C7289}"/>
  <bookViews>
    <workbookView xWindow="10836" yWindow="0" windowWidth="12252" windowHeight="12336" xr2:uid="{2A9E79B7-0D41-4C1A-BBE4-0B97E32D3015}"/>
  </bookViews>
  <sheets>
    <sheet name="Data_Validation" sheetId="7" r:id="rId1"/>
    <sheet name="Revenue_check" sheetId="4" r:id="rId2"/>
    <sheet name="Experiment_Segments" sheetId="6" r:id="rId3"/>
    <sheet name="Cleaned_Data" sheetId="2" r:id="rId4"/>
    <sheet name="Raw_Data" sheetId="1" r:id="rId5"/>
    <sheet name="hypothesis_test_output" sheetId="10" r:id="rId6"/>
    <sheet name="hypothesis_test_data" sheetId="8" r:id="rId7"/>
    <sheet name="Guardrail_Analysis" sheetId="11" r:id="rId8"/>
  </sheets>
  <definedNames>
    <definedName name="_xlnm._FilterDatabase" localSheetId="3" hidden="1">Cleaned_Data!$A$1:$Q$1409</definedName>
  </definedNames>
  <calcPr calcId="191029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/>
  <c r="R2" i="2"/>
  <c r="R692" i="2"/>
  <c r="U138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2" i="2"/>
</calcChain>
</file>

<file path=xl/sharedStrings.xml><?xml version="1.0" encoding="utf-8"?>
<sst xmlns="http://schemas.openxmlformats.org/spreadsheetml/2006/main" count="16991" uniqueCount="1531">
  <si>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</si>
  <si>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</si>
  <si>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</si>
  <si>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</si>
  <si>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</si>
  <si>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</si>
  <si>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</si>
  <si>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</si>
  <si>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</si>
  <si>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</si>
  <si>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</si>
  <si>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</si>
  <si>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</si>
  <si>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</si>
  <si>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</si>
  <si>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</si>
  <si>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</si>
  <si>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</si>
  <si>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</si>
  <si>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</si>
  <si>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</si>
  <si>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</si>
  <si>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</si>
  <si>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</si>
  <si>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</si>
  <si>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</si>
  <si>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</si>
  <si>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</si>
  <si>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</si>
  <si>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</si>
  <si>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</si>
  <si>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</si>
  <si>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</si>
  <si>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</si>
  <si>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</si>
  <si>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</si>
  <si>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</si>
  <si>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</si>
  <si>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</si>
  <si>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</si>
  <si>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</si>
  <si>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</si>
  <si>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</si>
  <si>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</si>
  <si>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</si>
  <si>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</si>
  <si>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</si>
  <si>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</si>
  <si>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</si>
  <si>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</si>
  <si>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</si>
  <si>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</si>
  <si>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</si>
  <si>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</si>
  <si>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</si>
  <si>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</si>
  <si>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</si>
  <si>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</si>
  <si>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</si>
  <si>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</si>
  <si>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</si>
  <si>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</si>
  <si>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</si>
  <si>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</si>
  <si>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</si>
  <si>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</si>
  <si>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</si>
  <si>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</si>
  <si>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</si>
  <si>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</si>
  <si>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</si>
  <si>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</si>
  <si>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</si>
  <si>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</si>
  <si>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</si>
  <si>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</si>
  <si>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</si>
  <si>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</si>
  <si>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</si>
  <si>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</si>
  <si>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</si>
  <si>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</si>
  <si>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</si>
  <si>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</si>
  <si>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</si>
  <si>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</si>
  <si>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</si>
  <si>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</si>
  <si>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</si>
  <si>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</si>
  <si>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</si>
  <si>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</si>
  <si>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</si>
  <si>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</si>
  <si>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</si>
  <si>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</si>
  <si>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</si>
  <si>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</si>
  <si>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</si>
  <si>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</si>
  <si>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</si>
  <si>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</si>
  <si>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</si>
  <si>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</si>
  <si>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</si>
  <si>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</si>
  <si>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</si>
  <si>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</si>
  <si>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</si>
  <si>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</si>
  <si>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</si>
  <si>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</si>
  <si>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</si>
  <si>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</si>
  <si>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</si>
  <si>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</si>
  <si>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</si>
  <si>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</si>
  <si>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</si>
  <si>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</si>
  <si>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</si>
  <si>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</si>
  <si>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</si>
  <si>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</si>
  <si>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</si>
  <si>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</si>
  <si>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</si>
  <si>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</si>
  <si>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</si>
  <si>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</si>
  <si>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</si>
  <si>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</si>
  <si>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</si>
  <si>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</si>
  <si>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</si>
  <si>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</si>
  <si>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</si>
  <si>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</si>
  <si>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</si>
  <si>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</si>
  <si>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</si>
  <si>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</si>
  <si>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</si>
  <si>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</si>
  <si>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</si>
  <si>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</si>
  <si>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</si>
  <si>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</si>
  <si>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</si>
  <si>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</si>
  <si>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</si>
  <si>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</si>
  <si>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</si>
  <si>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</si>
  <si>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</si>
  <si>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</si>
  <si>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</si>
  <si>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</si>
  <si>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</si>
  <si>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</si>
  <si>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</si>
  <si>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</si>
  <si>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</si>
  <si>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</si>
  <si>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</si>
  <si>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</si>
  <si>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</si>
  <si>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</si>
  <si>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</si>
  <si>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</si>
  <si>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</si>
  <si>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</si>
  <si>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</si>
  <si>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</si>
  <si>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</si>
  <si>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</si>
  <si>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</si>
  <si>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</si>
  <si>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</si>
  <si>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</si>
  <si>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</si>
  <si>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</si>
  <si>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</si>
  <si>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</si>
  <si>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</si>
  <si>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</si>
  <si>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</si>
  <si>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</si>
  <si>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</si>
  <si>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</si>
  <si>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</si>
  <si>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</si>
  <si>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</si>
  <si>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</si>
  <si>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</si>
  <si>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</si>
  <si>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</si>
  <si>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</si>
  <si>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</si>
  <si>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</si>
  <si>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</si>
  <si>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</si>
  <si>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</si>
  <si>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</si>
  <si>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</si>
  <si>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</si>
  <si>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</si>
  <si>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</si>
  <si>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</si>
  <si>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</si>
  <si>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</si>
  <si>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</si>
  <si>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</si>
  <si>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</si>
  <si>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</si>
  <si>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</si>
  <si>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</si>
  <si>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</si>
  <si>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</si>
  <si>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</si>
  <si>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</si>
  <si>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</si>
  <si>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</si>
  <si>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</si>
  <si>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</si>
  <si>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</si>
  <si>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</si>
  <si>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</si>
  <si>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</si>
  <si>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</si>
  <si>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</si>
  <si>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</si>
  <si>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</si>
  <si>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</si>
  <si>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</si>
  <si>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</si>
  <si>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</si>
  <si>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</si>
  <si>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</si>
  <si>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</si>
  <si>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</si>
  <si>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</si>
  <si>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</si>
  <si>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</si>
  <si>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</si>
  <si>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</si>
  <si>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</si>
  <si>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</si>
  <si>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</si>
  <si>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</si>
  <si>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</si>
  <si>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</si>
  <si>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</si>
  <si>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</si>
  <si>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</si>
  <si>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</si>
  <si>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</si>
  <si>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</si>
  <si>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</si>
  <si>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</si>
  <si>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</si>
  <si>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</si>
  <si>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</si>
  <si>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</si>
  <si>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</si>
  <si>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</si>
  <si>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</si>
  <si>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</si>
  <si>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</si>
  <si>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</si>
  <si>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</si>
  <si>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</si>
  <si>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</si>
  <si>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</si>
  <si>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</si>
  <si>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</si>
  <si>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</si>
  <si>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</si>
  <si>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</si>
  <si>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</si>
  <si>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</si>
  <si>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</si>
  <si>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</si>
  <si>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</si>
  <si>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</si>
  <si>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</si>
  <si>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</si>
  <si>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</si>
  <si>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</si>
  <si>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</si>
  <si>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</si>
  <si>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</si>
  <si>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</si>
  <si>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</si>
  <si>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</si>
  <si>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</si>
  <si>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</si>
  <si>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</si>
  <si>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</si>
  <si>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</si>
  <si>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</si>
  <si>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</si>
  <si>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</si>
  <si>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</si>
  <si>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</si>
  <si>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</si>
  <si>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</si>
  <si>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</si>
  <si>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</si>
  <si>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</si>
  <si>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</si>
  <si>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</si>
  <si>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</si>
  <si>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</si>
  <si>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</si>
  <si>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</si>
  <si>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</si>
  <si>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</si>
  <si>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</si>
  <si>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</si>
  <si>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</si>
  <si>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</si>
  <si>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</si>
  <si>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</si>
  <si>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</si>
  <si>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</si>
  <si>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</si>
  <si>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</si>
  <si>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</si>
  <si>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</si>
  <si>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</si>
  <si>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</si>
  <si>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</si>
  <si>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</si>
  <si>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</si>
  <si>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</si>
  <si>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</si>
  <si>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</si>
  <si>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</si>
  <si>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</si>
  <si>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</si>
  <si>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</si>
  <si>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</si>
  <si>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</si>
  <si>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</si>
  <si>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</si>
  <si>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</si>
  <si>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</si>
  <si>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</si>
  <si>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</si>
  <si>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</si>
  <si>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</si>
  <si>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</si>
  <si>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</si>
  <si>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</si>
  <si>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</si>
  <si>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</si>
  <si>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</si>
  <si>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</si>
  <si>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</si>
  <si>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</si>
  <si>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</si>
  <si>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</si>
  <si>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</si>
  <si>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</si>
  <si>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</si>
  <si>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</si>
  <si>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</si>
  <si>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</si>
  <si>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</si>
  <si>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</si>
  <si>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</si>
  <si>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</si>
  <si>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</si>
  <si>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</si>
  <si>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</si>
  <si>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</si>
  <si>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</si>
  <si>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</si>
  <si>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</si>
  <si>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</si>
  <si>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</si>
  <si>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</si>
  <si>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</si>
  <si>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</si>
  <si>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</si>
  <si>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</si>
  <si>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</si>
  <si>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</si>
  <si>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</si>
  <si>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</si>
  <si>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</si>
  <si>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</si>
  <si>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</si>
  <si>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</si>
  <si>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</si>
  <si>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</si>
  <si>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</si>
  <si>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</si>
  <si>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</si>
  <si>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</si>
  <si>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</si>
  <si>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</si>
  <si>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</si>
  <si>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</si>
  <si>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</si>
  <si>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</si>
  <si>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</si>
  <si>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</si>
  <si>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</si>
  <si>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</si>
  <si>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</si>
  <si>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</si>
  <si>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</si>
  <si>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</si>
  <si>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</si>
  <si>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</si>
  <si>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</si>
  <si>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</si>
  <si>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</si>
  <si>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</si>
  <si>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</si>
  <si>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</si>
  <si>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</si>
  <si>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</si>
  <si>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</si>
  <si>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</si>
  <si>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</si>
  <si>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</si>
  <si>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</si>
  <si>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</si>
  <si>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</si>
  <si>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</si>
  <si>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</si>
  <si>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</si>
  <si>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</si>
  <si>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</si>
  <si>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</si>
  <si>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</si>
  <si>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</si>
  <si>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</si>
  <si>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</si>
  <si>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</si>
  <si>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</si>
  <si>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</si>
  <si>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</si>
  <si>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</si>
  <si>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</si>
  <si>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</si>
  <si>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</si>
  <si>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</si>
  <si>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</si>
  <si>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</si>
  <si>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</si>
  <si>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</si>
  <si>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</si>
  <si>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</si>
  <si>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</si>
  <si>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</si>
  <si>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</si>
  <si>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</si>
  <si>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</si>
  <si>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</si>
  <si>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</si>
  <si>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</si>
  <si>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</si>
  <si>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</si>
  <si>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</si>
  <si>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</si>
  <si>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</si>
  <si>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</si>
  <si>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</si>
  <si>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</si>
  <si>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</si>
  <si>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</si>
  <si>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</si>
  <si>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</si>
  <si>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</si>
  <si>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</si>
  <si>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</si>
  <si>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</si>
  <si>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</si>
  <si>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</si>
  <si>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</si>
  <si>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</si>
  <si>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</si>
  <si>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</si>
  <si>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</si>
  <si>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</si>
  <si>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</si>
  <si>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</si>
  <si>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</si>
  <si>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</si>
  <si>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</si>
  <si>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</si>
  <si>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</si>
  <si>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</si>
  <si>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</si>
  <si>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</si>
  <si>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</si>
  <si>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</si>
  <si>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</si>
  <si>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</si>
  <si>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</si>
  <si>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</si>
  <si>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</si>
  <si>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</si>
  <si>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</si>
  <si>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</si>
  <si>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</si>
  <si>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</si>
  <si>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</si>
  <si>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</si>
  <si>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</si>
  <si>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</si>
  <si>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</si>
  <si>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</si>
  <si>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</si>
  <si>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</si>
  <si>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</si>
  <si>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</si>
  <si>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</si>
  <si>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</si>
  <si>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</si>
  <si>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</si>
  <si>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</si>
  <si>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</si>
  <si>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</si>
  <si>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</si>
  <si>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</si>
  <si>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</si>
  <si>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</si>
  <si>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</si>
  <si>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</si>
  <si>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</si>
  <si>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</si>
  <si>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</si>
  <si>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</si>
  <si>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</si>
  <si>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</si>
  <si>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</si>
  <si>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</si>
  <si>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</si>
  <si>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</si>
  <si>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</si>
  <si>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</si>
  <si>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</si>
  <si>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</si>
  <si>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</si>
  <si>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</si>
  <si>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</si>
  <si>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</si>
  <si>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</si>
  <si>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</si>
  <si>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</si>
  <si>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</si>
  <si>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</si>
  <si>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</si>
  <si>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</si>
  <si>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</si>
  <si>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</si>
  <si>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</si>
  <si>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</si>
  <si>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</si>
  <si>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</si>
  <si>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</si>
  <si>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</si>
  <si>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</si>
  <si>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</si>
  <si>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</si>
  <si>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</si>
  <si>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</si>
  <si>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</si>
  <si>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</si>
  <si>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</si>
  <si>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</si>
  <si>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</si>
  <si>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</si>
  <si>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</si>
  <si>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</si>
  <si>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</si>
  <si>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</si>
  <si>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</si>
  <si>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</si>
  <si>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</si>
  <si>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</si>
  <si>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</si>
  <si>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</si>
  <si>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</si>
  <si>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</si>
  <si>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</si>
  <si>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</si>
  <si>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</si>
  <si>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</si>
  <si>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</si>
  <si>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</si>
  <si>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</si>
  <si>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</si>
  <si>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</si>
  <si>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</si>
  <si>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</si>
  <si>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</si>
  <si>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</si>
  <si>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</si>
  <si>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</si>
  <si>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</si>
  <si>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</si>
  <si>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</si>
  <si>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</si>
  <si>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</si>
  <si>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</si>
  <si>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</si>
  <si>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</si>
  <si>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</si>
  <si>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</si>
  <si>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</si>
  <si>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</si>
  <si>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</si>
  <si>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</si>
  <si>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</si>
  <si>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</si>
  <si>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</si>
  <si>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</si>
  <si>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</si>
  <si>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</si>
  <si>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</si>
  <si>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</si>
  <si>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</si>
  <si>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</si>
  <si>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</si>
  <si>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</si>
  <si>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</si>
  <si>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</si>
  <si>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</si>
  <si>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</si>
  <si>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</si>
  <si>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</si>
  <si>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</si>
  <si>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</si>
  <si>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</si>
  <si>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</si>
  <si>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</si>
  <si>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</si>
  <si>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</si>
  <si>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</si>
  <si>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</si>
  <si>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</si>
  <si>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</si>
  <si>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</si>
  <si>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</si>
  <si>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</si>
  <si>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</si>
  <si>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</si>
  <si>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</si>
  <si>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</si>
  <si>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</si>
  <si>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</si>
  <si>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</si>
  <si>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</si>
  <si>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</si>
  <si>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</si>
  <si>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</si>
  <si>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</si>
  <si>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</si>
  <si>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</si>
  <si>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</si>
  <si>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</si>
  <si>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</si>
  <si>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</si>
  <si>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</si>
  <si>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</si>
  <si>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</si>
  <si>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</si>
  <si>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</si>
  <si>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</si>
  <si>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</si>
  <si>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</si>
  <si>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</si>
  <si>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</si>
  <si>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</si>
  <si>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</si>
  <si>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</si>
  <si>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</si>
  <si>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</si>
  <si>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</si>
  <si>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</si>
  <si>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</si>
  <si>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</si>
  <si>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</si>
  <si>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</si>
  <si>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</si>
  <si>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</si>
  <si>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</si>
  <si>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</si>
  <si>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</si>
  <si>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</si>
  <si>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</si>
  <si>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</si>
  <si>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</si>
  <si>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</si>
  <si>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</si>
  <si>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</si>
  <si>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</si>
  <si>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</si>
  <si>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</si>
  <si>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</si>
  <si>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</si>
  <si>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</si>
  <si>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</si>
  <si>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</si>
  <si>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</si>
  <si>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</si>
  <si>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</si>
  <si>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</si>
  <si>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</si>
  <si>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</si>
  <si>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</si>
  <si>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</si>
  <si>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</si>
  <si>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</si>
  <si>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</si>
  <si>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</si>
  <si>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</si>
  <si>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</si>
  <si>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</si>
  <si>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</si>
  <si>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</si>
  <si>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</si>
  <si>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</si>
  <si>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</si>
  <si>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</si>
  <si>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</si>
  <si>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</si>
  <si>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</si>
  <si>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</si>
  <si>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</si>
  <si>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</si>
  <si>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</si>
  <si>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</si>
  <si>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</si>
  <si>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</si>
  <si>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</si>
  <si>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</si>
  <si>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</si>
  <si>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</si>
  <si>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</si>
  <si>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</si>
  <si>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</si>
  <si>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</si>
  <si>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</si>
  <si>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</si>
  <si>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</si>
  <si>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</si>
  <si>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</si>
  <si>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</si>
  <si>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</si>
  <si>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</si>
  <si>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</si>
  <si>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</si>
  <si>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</si>
  <si>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</si>
  <si>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</si>
  <si>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</si>
  <si>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</si>
  <si>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</si>
  <si>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</si>
  <si>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</si>
  <si>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</si>
  <si>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</si>
  <si>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</si>
  <si>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</si>
  <si>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</si>
  <si>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</si>
  <si>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</si>
  <si>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</si>
  <si>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</si>
  <si>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</si>
  <si>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</si>
  <si>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</si>
  <si>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</si>
  <si>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</si>
  <si>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</si>
  <si>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</si>
  <si>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</si>
  <si>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</si>
  <si>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</si>
  <si>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</si>
  <si>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</si>
  <si>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</si>
  <si>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</si>
  <si>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</si>
  <si>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</si>
  <si>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</si>
  <si>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</si>
  <si>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</si>
  <si>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</si>
  <si>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</si>
  <si>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</si>
  <si>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</si>
  <si>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</si>
  <si>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</si>
  <si>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</si>
  <si>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</si>
  <si>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</si>
  <si>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</si>
  <si>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</si>
  <si>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</si>
  <si>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</si>
  <si>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</si>
  <si>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</si>
  <si>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</si>
  <si>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</si>
  <si>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</si>
  <si>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</si>
  <si>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</si>
  <si>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</si>
  <si>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</si>
  <si>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</si>
  <si>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</si>
  <si>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</si>
  <si>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</si>
  <si>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</si>
  <si>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</si>
  <si>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</si>
  <si>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</si>
  <si>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</si>
  <si>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</si>
  <si>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</si>
  <si>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</si>
  <si>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</si>
  <si>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</si>
  <si>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</si>
  <si>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</si>
  <si>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</si>
  <si>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</si>
  <si>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</si>
  <si>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</si>
  <si>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</si>
  <si>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</si>
  <si>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</si>
  <si>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</si>
  <si>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</si>
  <si>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</si>
  <si>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</si>
  <si>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</si>
  <si>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</si>
  <si>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</si>
  <si>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</si>
  <si>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</si>
  <si>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</si>
  <si>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</si>
  <si>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</si>
  <si>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</si>
  <si>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</si>
  <si>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</si>
  <si>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</si>
  <si>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</si>
  <si>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</si>
  <si>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</si>
  <si>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</si>
  <si>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</si>
  <si>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</si>
  <si>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</si>
  <si>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</si>
  <si>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</si>
  <si>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</si>
  <si>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</si>
  <si>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</si>
  <si>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</si>
  <si>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</si>
  <si>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</si>
  <si>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</si>
  <si>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</si>
  <si>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</si>
  <si>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</si>
  <si>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</si>
  <si>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</si>
  <si>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</si>
  <si>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</si>
  <si>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</si>
  <si>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</si>
  <si>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</si>
  <si>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</si>
  <si>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</si>
  <si>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</si>
  <si>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</si>
  <si>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</si>
  <si>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</si>
  <si>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</si>
  <si>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</si>
  <si>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</si>
  <si>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</si>
  <si>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</si>
  <si>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</si>
  <si>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</si>
  <si>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</si>
  <si>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</si>
  <si>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</si>
  <si>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</si>
  <si>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</si>
  <si>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</si>
  <si>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</si>
  <si>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</si>
  <si>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</si>
  <si>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</si>
  <si>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</si>
  <si>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</si>
  <si>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</si>
  <si>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</si>
  <si>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</si>
  <si>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</si>
  <si>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</si>
  <si>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</si>
  <si>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</si>
  <si>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</si>
  <si>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</si>
  <si>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</si>
  <si>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</si>
  <si>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</si>
  <si>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</si>
  <si>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</si>
  <si>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</si>
  <si>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</si>
  <si>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</si>
  <si>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</si>
  <si>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</si>
  <si>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</si>
  <si>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</si>
  <si>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</si>
  <si>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</si>
  <si>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</si>
  <si>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</si>
  <si>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</si>
  <si>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</si>
  <si>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</si>
  <si>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</si>
  <si>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</si>
  <si>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</si>
  <si>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</si>
  <si>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</si>
  <si>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</si>
  <si>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</si>
  <si>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</si>
  <si>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</si>
  <si>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</si>
  <si>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</si>
  <si>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</si>
  <si>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</si>
  <si>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</si>
  <si>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</si>
  <si>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</si>
  <si>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</si>
  <si>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</si>
  <si>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</si>
  <si>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</si>
  <si>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</si>
  <si>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</si>
  <si>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</si>
  <si>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</si>
  <si>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</si>
  <si>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</si>
  <si>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</si>
  <si>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</si>
  <si>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</si>
  <si>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</si>
  <si>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</si>
  <si>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</si>
  <si>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</si>
  <si>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</si>
  <si>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</si>
  <si>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</si>
  <si>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</si>
  <si>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</si>
  <si>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</si>
  <si>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</si>
  <si>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</si>
  <si>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</si>
  <si>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</si>
  <si>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</si>
  <si>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</si>
  <si>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</si>
  <si>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</si>
  <si>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</si>
  <si>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</si>
  <si>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</si>
  <si>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</si>
  <si>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</si>
  <si>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</si>
  <si>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</si>
  <si>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</si>
  <si>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</si>
  <si>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</si>
  <si>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</si>
  <si>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</si>
  <si>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</si>
  <si>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</si>
  <si>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</si>
  <si>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</si>
  <si>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</si>
  <si>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</si>
  <si>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</si>
  <si>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</si>
  <si>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</si>
  <si>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</si>
  <si>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</si>
  <si>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</si>
  <si>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</si>
  <si>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</si>
  <si>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</si>
  <si>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</si>
  <si>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</si>
  <si>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</si>
  <si>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</si>
  <si>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</si>
  <si>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</si>
  <si>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</si>
  <si>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</si>
  <si>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</si>
  <si>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</si>
  <si>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</si>
  <si>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</si>
  <si>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</si>
  <si>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</si>
  <si>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</si>
  <si>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</si>
  <si>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</si>
  <si>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</si>
  <si>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</si>
  <si>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</si>
  <si>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</si>
  <si>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</si>
  <si>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</si>
  <si>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</si>
  <si>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</si>
  <si>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</si>
  <si>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</si>
  <si>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</si>
  <si>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</si>
  <si>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</si>
  <si>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</si>
  <si>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</si>
  <si>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</si>
  <si>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</si>
  <si>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</si>
  <si>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</si>
  <si>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</si>
  <si>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</si>
  <si>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</si>
  <si>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</si>
  <si>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</si>
  <si>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</si>
  <si>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</si>
  <si>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</si>
  <si>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</si>
  <si>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</si>
  <si>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</si>
  <si>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</si>
  <si>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</si>
  <si>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</si>
  <si>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</si>
  <si>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</si>
  <si>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</si>
  <si>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</si>
  <si>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</si>
  <si>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</si>
  <si>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</si>
  <si>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</si>
  <si>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</si>
  <si>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</si>
  <si>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</si>
  <si>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</si>
  <si>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</si>
  <si>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</si>
  <si>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</si>
  <si>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</si>
  <si>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</si>
  <si>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</si>
  <si>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</si>
  <si>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</si>
  <si>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</si>
  <si>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</si>
  <si>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</si>
  <si>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</si>
  <si>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</si>
  <si>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</si>
  <si>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</si>
  <si>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</si>
  <si>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</si>
  <si>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</si>
  <si>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</si>
  <si>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</si>
  <si>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</si>
  <si>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</si>
  <si>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</si>
  <si>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</si>
  <si>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</si>
  <si>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</si>
  <si>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</si>
  <si>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</si>
  <si>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</si>
  <si>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</si>
  <si>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</si>
  <si>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</si>
  <si>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</si>
  <si>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</si>
  <si>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</si>
  <si>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</si>
  <si>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</si>
  <si>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</si>
  <si>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</si>
  <si>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</si>
  <si>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</si>
  <si>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</si>
  <si>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</si>
  <si>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</si>
  <si>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</si>
  <si>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</si>
  <si>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</si>
  <si>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</si>
  <si>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</si>
  <si>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</si>
  <si>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</si>
  <si>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</si>
  <si>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</si>
  <si>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</si>
  <si>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</si>
  <si>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</si>
  <si>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</si>
  <si>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</si>
  <si>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</si>
  <si>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</si>
  <si>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</si>
  <si>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</si>
  <si>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</si>
  <si>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</si>
  <si>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</si>
  <si>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</si>
  <si>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</si>
  <si>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</si>
  <si>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</si>
  <si>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</si>
  <si>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</si>
  <si>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</si>
  <si>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</si>
  <si>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</si>
  <si>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</si>
  <si>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</si>
  <si>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</si>
  <si>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</si>
  <si>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</si>
  <si>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</si>
  <si>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</si>
  <si>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</si>
  <si>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</si>
  <si>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</si>
  <si>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</si>
  <si>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</si>
  <si>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</si>
  <si>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</si>
  <si>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</si>
  <si>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</si>
  <si>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</si>
  <si>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</si>
  <si>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</si>
  <si>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</si>
  <si>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</si>
  <si>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</si>
  <si>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</si>
  <si>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</si>
  <si>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</si>
  <si>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</si>
  <si>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</si>
  <si>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</si>
  <si>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</si>
  <si>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</si>
  <si>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</si>
  <si>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</si>
  <si>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</si>
  <si>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</si>
  <si>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</si>
  <si>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</si>
  <si>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</si>
  <si>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</si>
  <si>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</si>
  <si>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</si>
  <si>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</si>
  <si>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</si>
  <si>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</si>
  <si>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</si>
  <si>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</si>
  <si>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</si>
  <si>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</si>
  <si>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</si>
  <si>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</si>
  <si>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</si>
  <si>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</si>
  <si>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</si>
  <si>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</si>
  <si>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</si>
  <si>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</si>
  <si>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</si>
  <si>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</si>
  <si>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</si>
  <si>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</si>
  <si>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</si>
  <si>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</si>
  <si>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</si>
  <si>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</si>
  <si>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</si>
  <si>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</si>
  <si>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</si>
  <si>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</si>
  <si>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</si>
  <si>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</si>
  <si>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</si>
  <si>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</si>
  <si>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</si>
  <si>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</si>
  <si>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</si>
  <si>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</si>
  <si>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</si>
  <si>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</si>
  <si>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</si>
  <si>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</si>
  <si>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</si>
  <si>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</si>
  <si>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</si>
  <si>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</si>
  <si>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</si>
  <si>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</si>
  <si>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</si>
  <si>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</si>
  <si>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</si>
  <si>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</si>
  <si>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</si>
  <si>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</si>
  <si>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</si>
  <si>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</si>
  <si>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</si>
  <si>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</si>
  <si>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</si>
  <si>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</si>
  <si>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</si>
  <si>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</si>
  <si>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</si>
  <si>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</si>
  <si>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</si>
  <si>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</si>
  <si>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</si>
  <si>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</si>
  <si>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</si>
  <si>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</si>
  <si>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</si>
  <si>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</si>
  <si>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</si>
  <si>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</si>
  <si>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</si>
  <si>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</si>
  <si>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</si>
  <si>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</si>
  <si>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</si>
  <si>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</si>
  <si>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</si>
  <si>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</si>
  <si>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</si>
  <si>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</si>
  <si>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</si>
  <si>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</si>
  <si>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</si>
  <si>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</si>
  <si>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</si>
  <si>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</si>
  <si>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</si>
  <si>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</si>
  <si>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</si>
  <si>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</si>
  <si>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</si>
  <si>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</si>
  <si>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</si>
  <si>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</si>
  <si>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</si>
  <si>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</si>
  <si>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</si>
  <si>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</si>
  <si>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</si>
  <si>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</si>
  <si>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</si>
  <si>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</si>
  <si>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</si>
  <si>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</si>
  <si>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</si>
  <si>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</si>
  <si>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</si>
  <si>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</si>
  <si>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</si>
  <si>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</si>
  <si>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</si>
  <si>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</si>
  <si>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</si>
  <si>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</si>
  <si>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</si>
  <si>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</si>
  <si>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</si>
  <si>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</si>
  <si>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</si>
  <si>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</si>
  <si>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</si>
  <si>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</si>
  <si>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</si>
  <si>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</si>
  <si>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</si>
  <si>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</si>
  <si>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</si>
  <si>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</si>
  <si>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</si>
  <si>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</si>
  <si>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</si>
  <si>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</si>
  <si>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</si>
  <si>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</si>
  <si>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</si>
  <si>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</si>
  <si>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</si>
  <si>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</si>
  <si>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</si>
  <si>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</si>
  <si>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</si>
  <si>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</si>
  <si>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</si>
  <si>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</si>
  <si>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</si>
  <si>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</si>
  <si>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</si>
  <si>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</si>
  <si>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</si>
  <si>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</si>
  <si>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</si>
  <si>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</si>
  <si>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</si>
  <si>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</si>
  <si>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</si>
  <si>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</si>
  <si>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</si>
  <si>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</si>
  <si>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</si>
  <si>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</si>
  <si>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</si>
  <si>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</si>
  <si>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</si>
  <si>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</si>
  <si>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</si>
  <si>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</si>
  <si>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</si>
  <si>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</si>
  <si>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</si>
  <si>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</si>
  <si>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</si>
  <si>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</si>
  <si>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</si>
  <si>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</si>
  <si>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</si>
  <si>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</si>
  <si>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</si>
  <si>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</si>
  <si>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</si>
  <si>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</si>
  <si>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</si>
  <si>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</si>
  <si>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</si>
  <si>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</si>
  <si>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</si>
  <si>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</si>
  <si>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</si>
  <si>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</si>
  <si>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</si>
  <si>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</si>
  <si>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</si>
  <si>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</si>
  <si>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</si>
  <si>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</si>
  <si>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</si>
  <si>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</si>
  <si>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</si>
  <si>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</si>
  <si>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</si>
  <si>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</si>
  <si>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</si>
  <si>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</si>
  <si>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</si>
  <si>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</si>
  <si>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</si>
  <si>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</si>
  <si>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</si>
  <si>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</si>
  <si>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</si>
  <si>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</si>
  <si>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</si>
  <si>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</si>
  <si>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</si>
  <si>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</si>
  <si>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</si>
  <si>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</si>
  <si>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</si>
  <si>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</si>
  <si>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</si>
  <si>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</si>
  <si>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</si>
  <si>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</si>
  <si>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</si>
  <si>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</si>
  <si>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</si>
  <si>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</si>
  <si>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</si>
  <si>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</si>
  <si>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</si>
  <si>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</si>
  <si>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</si>
  <si>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</si>
  <si>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</si>
  <si>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</si>
  <si>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</si>
  <si>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</si>
  <si>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</si>
  <si>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</si>
  <si>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</si>
  <si>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</si>
  <si>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</si>
  <si>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</si>
  <si>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</si>
  <si>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</si>
  <si>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</si>
  <si>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</si>
  <si>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</si>
  <si>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duplicate_check</t>
  </si>
  <si>
    <t>Row Labels</t>
  </si>
  <si>
    <t>Grand Total</t>
  </si>
  <si>
    <t>Count of user_id</t>
  </si>
  <si>
    <t>Validation Item</t>
  </si>
  <si>
    <t>Observation</t>
  </si>
  <si>
    <t>Maximum Revenue</t>
  </si>
  <si>
    <t>Outliers Present</t>
  </si>
  <si>
    <t>Data Quality Issue</t>
  </si>
  <si>
    <t>Decision</t>
  </si>
  <si>
    <t>Yes</t>
  </si>
  <si>
    <t>No</t>
  </si>
  <si>
    <t>Outliers Retained</t>
  </si>
  <si>
    <t>A small number of unusually high revenue values were identified during the review. These observations are considered valid because they represent genuine high-spending customers rather than data-entry errors. Therefore, all observations were retained for further experiment analysis.</t>
  </si>
  <si>
    <t>Business Note</t>
  </si>
  <si>
    <t>Column Labels</t>
  </si>
  <si>
    <t>Check</t>
  </si>
  <si>
    <t>Status</t>
  </si>
  <si>
    <t>Duplicate User IDs</t>
  </si>
  <si>
    <t>Invalid Binary Values</t>
  </si>
  <si>
    <t>Missing - Device Type</t>
  </si>
  <si>
    <t>Missing - Traffic Source</t>
  </si>
  <si>
    <t>Missing - Engagement Score</t>
  </si>
  <si>
    <t>Missing - Days to Convert</t>
  </si>
  <si>
    <t>Control Group Users</t>
  </si>
  <si>
    <t>Treatment Group Users</t>
  </si>
  <si>
    <t>Revenue Outliers</t>
  </si>
  <si>
    <t>Present</t>
  </si>
  <si>
    <t>Reviewed</t>
  </si>
  <si>
    <t>Retained</t>
  </si>
  <si>
    <t>Key Findings</t>
  </si>
  <si>
    <t>The dataset was reviewed for completeness, consistency, duplicate records, binary values, group balance, and revenue distribution. No critical data quality issues were identified that would prevent further experiment analysis.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</si>
  <si>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</si>
  <si>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</si>
  <si>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</si>
  <si>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</si>
  <si>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</si>
  <si>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</si>
  <si>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</si>
  <si>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</si>
  <si>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</si>
  <si>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</si>
  <si>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guardrail_metrics</t>
  </si>
  <si>
    <t>GUARDRAIL METRICS ANALYSIS</t>
  </si>
  <si>
    <t>Guardrail Metric</t>
  </si>
  <si>
    <t>Risk Level</t>
  </si>
  <si>
    <t>Assessment</t>
  </si>
  <si>
    <t>Refund Rate</t>
  </si>
  <si>
    <t>Low</t>
  </si>
  <si>
    <t>Slight increase observed</t>
  </si>
  <si>
    <t>Support Ticket Rate</t>
  </si>
  <si>
    <t>Medium</t>
  </si>
  <si>
    <t>Requires monitoring</t>
  </si>
  <si>
    <t>Avg Days to Convert</t>
  </si>
  <si>
    <t>Positive</t>
  </si>
  <si>
    <t>Faster conversion</t>
  </si>
  <si>
    <t>Avg Engagement Score</t>
  </si>
  <si>
    <t>User engagement improved</t>
  </si>
  <si>
    <t>Avg Revenue per Converted User</t>
  </si>
  <si>
    <t>Revenue quality declined</t>
  </si>
  <si>
    <r>
      <rPr>
        <b/>
        <sz val="14"/>
        <color theme="1"/>
        <rFont val="Calibri"/>
        <family val="2"/>
        <scheme val="minor"/>
      </rPr>
      <t>Key Findings:</t>
    </r>
    <r>
      <rPr>
        <sz val="11"/>
        <color theme="1"/>
        <rFont val="Calibri"/>
        <family val="2"/>
        <scheme val="minor"/>
      </rPr>
      <t xml:space="preserve">
• Support Ticket Rate increased from 14.72% to 24.76%.
• Refund Rate increased slightly but remains low.
• Users converted faster under Treatment.
• Engagement Score improved significantly.
• Revenue per Converted User declined and should be monitored.
• No guardrail metric presents a critical rollout risk.</t>
    </r>
  </si>
  <si>
    <t>HYPOTHESIS TEST DATA</t>
  </si>
  <si>
    <t>Key Notes:</t>
  </si>
  <si>
    <t>• Binary values represent Paid Conversion outcomes.
• 0 = User did not convert.
• 1 = User converted to a Paid Subscription.
• Control and Treatment groups are compared using a Two-Sample t-Test.
• This dataset is used to evaluate whether the new onboarding campaign significantly improves Paid Conversion Rate.</t>
  </si>
  <si>
    <t>TEST INFORMATION</t>
  </si>
  <si>
    <t>Metric</t>
  </si>
  <si>
    <t>Value</t>
  </si>
  <si>
    <t>Paid Conversion Rate</t>
  </si>
  <si>
    <t>Primary Metric</t>
  </si>
  <si>
    <t>Test Type</t>
  </si>
  <si>
    <t>Alpha</t>
  </si>
  <si>
    <t>Groups</t>
  </si>
  <si>
    <t>Two-Sample t-Test</t>
  </si>
  <si>
    <t>Control vs Treatment</t>
  </si>
  <si>
    <t>HYPOTHESIS TEST RESULTS</t>
  </si>
  <si>
    <t>TEST DECISION</t>
  </si>
  <si>
    <t>Item</t>
  </si>
  <si>
    <t>Result</t>
  </si>
  <si>
    <t>Significance Level (α)</t>
  </si>
  <si>
    <t>P-value (Two-tail)</t>
  </si>
  <si>
    <t>Business Outcome</t>
  </si>
  <si>
    <t>Reject Null Hypothesis</t>
  </si>
  <si>
    <t>Treatment Performs Better</t>
  </si>
  <si>
    <t>• Treatment group's average conversion rate is higher than the Control group.
• The two-tailed p-value (0.0011) is less than the significance level (0.05).
• The Null Hypothesis is rejected.
• Statistical evidence supports that the new onboarding campaign significantly improves Paid Conversion Rate.
• The Treatment experience is recommended for business rollout, subject to guardrail monitoring.</t>
  </si>
  <si>
    <t>EXPERIMENT SEGMENT DISTRIBUTION</t>
  </si>
  <si>
    <t>GROUP DISTRIBUTION</t>
  </si>
  <si>
    <t>DEVICE TYPE DISTRIBUTION</t>
  </si>
  <si>
    <t>REGION DISTRIBUTION</t>
  </si>
  <si>
    <t>PLAN TYPE DISTRIBUTION</t>
  </si>
  <si>
    <t>• Control and Treatment groups are similarly distributed across regions.
• Device type distribution is balanced between both experiment groups.
• Plan type allocation is comparable across Control and Treatment users.
• Group sizes (693 vs 715 users) are sufficiently balanced for experiment analysis.
• No major segment imbalance was observed that could bias the experiment results.</t>
  </si>
  <si>
    <t>REVENUE DISTRIBUTION REVIEW</t>
  </si>
  <si>
    <t>KEY FINDINGS</t>
  </si>
  <si>
    <t>Maximum revenue observed: 8610.72
Revenue outliers were detected.
No data quality issues were identified.
Outliers were retained because they represent valid customer behavior.
Revenue distribution is suitable for further analysis.</t>
  </si>
  <si>
    <t>DATA VALIDATION SUMMARY</t>
  </si>
  <si>
    <t>✓ Verified</t>
  </si>
  <si>
    <t>✓ Valid</t>
  </si>
  <si>
    <t>1336 (Expected)</t>
  </si>
  <si>
    <t>8 IDs (16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</si>
</sst>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  <font>
      <b/>
      <sz val="16"/>
      <color rgb="FFF8F8F8"/>
      <name val="Calibri"/>
      <family val="2"/>
      <scheme val="minor"/>
    </font>
    <font>
      <b/>
      <sz val="11"/>
      <color rgb="FFF8F8F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8F8F8"/>
      <name val="Calibri"/>
      <family val="2"/>
      <scheme val="minor"/>
    </font>
    <font>
      <b/>
      <i/>
      <sz val="11"/>
      <color rgb="FFF8F8F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227ACB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169" fontId="0" fillId="0" borderId="0" xfId="0" applyNumberFormat="1" applyFill="1" applyBorder="1" applyAlignment="1"/>
    <xf numFmtId="169" fontId="0" fillId="0" borderId="2" xfId="0" applyNumberFormat="1" applyFill="1" applyBorder="1" applyAlignment="1"/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5" borderId="4" xfId="0" applyFill="1" applyBorder="1"/>
    <xf numFmtId="10" fontId="0" fillId="0" borderId="4" xfId="0" applyNumberFormat="1" applyBorder="1"/>
    <xf numFmtId="0" fontId="0" fillId="6" borderId="4" xfId="0" applyFill="1" applyBorder="1"/>
    <xf numFmtId="0" fontId="0" fillId="0" borderId="4" xfId="0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 applyAlignment="1">
      <alignment horizontal="center" wrapText="1"/>
    </xf>
    <xf numFmtId="0" fontId="0" fillId="9" borderId="4" xfId="0" applyFill="1" applyBorder="1" applyAlignment="1">
      <alignment horizontal="center"/>
    </xf>
    <xf numFmtId="0" fontId="5" fillId="10" borderId="0" xfId="0" applyFont="1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5" fillId="11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wrapText="1"/>
    </xf>
    <xf numFmtId="0" fontId="5" fillId="11" borderId="0" xfId="0" applyFont="1" applyFill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1" fillId="9" borderId="11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0" fillId="9" borderId="13" xfId="0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8" fillId="11" borderId="3" xfId="0" applyFont="1" applyFill="1" applyBorder="1" applyAlignment="1">
      <alignment horizontal="center"/>
    </xf>
    <xf numFmtId="169" fontId="0" fillId="12" borderId="0" xfId="0" applyNumberFormat="1" applyFill="1" applyBorder="1" applyAlignment="1"/>
    <xf numFmtId="0" fontId="0" fillId="13" borderId="0" xfId="0" applyNumberFormat="1" applyFill="1" applyBorder="1" applyAlignment="1"/>
    <xf numFmtId="169" fontId="0" fillId="14" borderId="0" xfId="0" applyNumberFormat="1" applyFill="1" applyBorder="1" applyAlignment="1"/>
    <xf numFmtId="169" fontId="0" fillId="9" borderId="0" xfId="0" applyNumberFormat="1" applyFill="1" applyBorder="1" applyAlignment="1"/>
    <xf numFmtId="169" fontId="0" fillId="9" borderId="2" xfId="0" applyNumberFormat="1" applyFill="1" applyBorder="1" applyAlignment="1"/>
    <xf numFmtId="0" fontId="0" fillId="11" borderId="0" xfId="0" applyFill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6" borderId="4" xfId="0" applyFill="1" applyBorder="1"/>
    <xf numFmtId="0" fontId="0" fillId="16" borderId="4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0" fontId="0" fillId="17" borderId="0" xfId="0" applyFill="1" applyAlignment="1">
      <alignment horizontal="left"/>
    </xf>
    <xf numFmtId="0" fontId="0" fillId="17" borderId="0" xfId="0" applyNumberFormat="1" applyFill="1"/>
    <xf numFmtId="0" fontId="0" fillId="17" borderId="0" xfId="0" applyNumberFormat="1" applyFill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9" borderId="14" xfId="0" applyFill="1" applyBorder="1" applyAlignment="1">
      <alignment horizontal="center" wrapText="1"/>
    </xf>
    <xf numFmtId="0" fontId="0" fillId="9" borderId="15" xfId="0" applyFill="1" applyBorder="1" applyAlignment="1">
      <alignment horizontal="center" wrapText="1"/>
    </xf>
    <xf numFmtId="0" fontId="0" fillId="9" borderId="0" xfId="0" applyFill="1" applyBorder="1" applyAlignment="1">
      <alignment horizontal="center" wrapText="1"/>
    </xf>
    <xf numFmtId="0" fontId="0" fillId="9" borderId="16" xfId="0" applyFill="1" applyBorder="1" applyAlignment="1">
      <alignment horizontal="center" wrapText="1"/>
    </xf>
    <xf numFmtId="0" fontId="0" fillId="9" borderId="17" xfId="0" applyFill="1" applyBorder="1" applyAlignment="1">
      <alignment horizontal="center" wrapText="1"/>
    </xf>
    <xf numFmtId="0" fontId="0" fillId="9" borderId="2" xfId="0" applyFill="1" applyBorder="1" applyAlignment="1">
      <alignment horizontal="center" wrapText="1"/>
    </xf>
    <xf numFmtId="0" fontId="0" fillId="9" borderId="18" xfId="0" applyFill="1" applyBorder="1" applyAlignment="1">
      <alignment horizontal="center" wrapText="1"/>
    </xf>
    <xf numFmtId="0" fontId="5" fillId="19" borderId="4" xfId="0" applyFont="1" applyFill="1" applyBorder="1" applyAlignment="1">
      <alignment horizontal="center"/>
    </xf>
    <xf numFmtId="0" fontId="7" fillId="11" borderId="4" xfId="0" applyFont="1" applyFill="1" applyBorder="1"/>
    <xf numFmtId="0" fontId="0" fillId="13" borderId="4" xfId="0" applyFill="1" applyBorder="1"/>
    <xf numFmtId="0" fontId="0" fillId="18" borderId="4" xfId="0" applyFill="1" applyBorder="1"/>
    <xf numFmtId="0" fontId="7" fillId="10" borderId="0" xfId="0" applyFont="1" applyFill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5" fillId="11" borderId="4" xfId="0" applyFont="1" applyFill="1" applyBorder="1"/>
    <xf numFmtId="0" fontId="0" fillId="20" borderId="4" xfId="0" applyFill="1" applyBorder="1"/>
    <xf numFmtId="0" fontId="0" fillId="21" borderId="4" xfId="0" applyFill="1" applyBorder="1"/>
  </cellXfs>
  <cellStyles count="1">
    <cellStyle name="Normal" xfId="0" builtinId="0"/>
  </cellStyles>
  <dxfs count="18"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FF66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GATTANI" refreshedDate="46198.582453819443" createdVersion="8" refreshedVersion="8" minRefreshableVersion="3" recordCount="1408" xr:uid="{F33955A3-ADEC-49CB-884A-9AE394397918}">
  <cacheSource type="worksheet">
    <worksheetSource ref="A1:Q1409" sheet="Cleaned_Data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/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check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s v="Email"/>
    <x v="0"/>
    <n v="0"/>
    <n v="0"/>
    <n v="0"/>
    <n v="0"/>
    <n v="0"/>
    <n v="0"/>
    <n v="0"/>
    <m/>
    <n v="45.7"/>
    <n v="1"/>
  </r>
  <r>
    <s v="USR-100002"/>
    <d v="2025-03-08T00:00:00"/>
    <x v="0"/>
    <x v="1"/>
    <x v="1"/>
    <s v="Organic"/>
    <x v="1"/>
    <n v="1"/>
    <n v="0"/>
    <n v="0"/>
    <n v="0"/>
    <n v="0"/>
    <n v="0"/>
    <n v="0"/>
    <m/>
    <n v="48.6"/>
    <n v="1"/>
  </r>
  <r>
    <s v="USR-100003"/>
    <d v="2025-04-24T00:00:00"/>
    <x v="0"/>
    <x v="2"/>
    <x v="1"/>
    <s v="Paid Search"/>
    <x v="2"/>
    <n v="1"/>
    <n v="0"/>
    <n v="0"/>
    <n v="0"/>
    <n v="0"/>
    <n v="1"/>
    <n v="0"/>
    <m/>
    <n v="35.4"/>
    <n v="1"/>
  </r>
  <r>
    <s v="USR-100004"/>
    <d v="2025-05-04T00:00:00"/>
    <x v="0"/>
    <x v="3"/>
    <x v="1"/>
    <s v="Email"/>
    <x v="0"/>
    <n v="1"/>
    <n v="0"/>
    <n v="0"/>
    <n v="0"/>
    <n v="0"/>
    <n v="0"/>
    <n v="0"/>
    <m/>
    <n v="64.599999999999994"/>
    <n v="1"/>
  </r>
  <r>
    <s v="USR-100005"/>
    <d v="2025-02-12T00:00:00"/>
    <x v="0"/>
    <x v="0"/>
    <x v="2"/>
    <s v="Organic"/>
    <x v="1"/>
    <n v="0"/>
    <n v="0"/>
    <n v="0"/>
    <n v="0"/>
    <n v="0"/>
    <n v="0"/>
    <n v="0"/>
    <m/>
    <n v="66.599999999999994"/>
    <n v="1"/>
  </r>
  <r>
    <s v="USR-100006"/>
    <d v="2025-01-28T00:00:00"/>
    <x v="0"/>
    <x v="2"/>
    <x v="1"/>
    <s v="Organic"/>
    <x v="2"/>
    <n v="1"/>
    <n v="0"/>
    <n v="0"/>
    <n v="0"/>
    <n v="0"/>
    <n v="0"/>
    <n v="0"/>
    <m/>
    <n v="40.799999999999997"/>
    <n v="1"/>
  </r>
  <r>
    <s v="USR-100007"/>
    <d v="2025-04-08T00:00:00"/>
    <x v="0"/>
    <x v="2"/>
    <x v="1"/>
    <s v="Paid Search"/>
    <x v="0"/>
    <n v="1"/>
    <n v="1"/>
    <n v="0"/>
    <n v="0"/>
    <n v="0"/>
    <n v="0"/>
    <n v="0"/>
    <m/>
    <n v="57.1"/>
    <n v="1"/>
  </r>
  <r>
    <s v="USR-100008"/>
    <d v="2025-05-17T00:00:00"/>
    <x v="0"/>
    <x v="3"/>
    <x v="1"/>
    <s v="Paid Search"/>
    <x v="1"/>
    <n v="0"/>
    <n v="0"/>
    <n v="0"/>
    <n v="0"/>
    <n v="0"/>
    <n v="0"/>
    <n v="0"/>
    <m/>
    <n v="36.4"/>
    <n v="1"/>
  </r>
  <r>
    <s v="USR-100009"/>
    <d v="2025-02-23T00:00:00"/>
    <x v="0"/>
    <x v="3"/>
    <x v="2"/>
    <s v="Referral"/>
    <x v="0"/>
    <n v="0"/>
    <n v="0"/>
    <n v="0"/>
    <n v="0"/>
    <n v="0"/>
    <n v="0"/>
    <n v="0"/>
    <m/>
    <n v="55.4"/>
    <n v="1"/>
  </r>
  <r>
    <s v="USR-100010"/>
    <d v="2025-05-29T00:00:00"/>
    <x v="0"/>
    <x v="1"/>
    <x v="0"/>
    <s v="Social"/>
    <x v="1"/>
    <n v="1"/>
    <n v="0"/>
    <n v="0"/>
    <n v="0"/>
    <n v="0"/>
    <n v="0"/>
    <n v="0"/>
    <m/>
    <n v="57.3"/>
    <n v="1"/>
  </r>
  <r>
    <s v="USR-100011"/>
    <d v="2025-04-30T00:00:00"/>
    <x v="0"/>
    <x v="2"/>
    <x v="1"/>
    <s v="Paid Search"/>
    <x v="0"/>
    <n v="1"/>
    <n v="1"/>
    <n v="1"/>
    <n v="0"/>
    <n v="0"/>
    <n v="0"/>
    <n v="0"/>
    <m/>
    <n v="63.6"/>
    <n v="1"/>
  </r>
  <r>
    <s v="USR-100012"/>
    <d v="2025-03-16T00:00:00"/>
    <x v="0"/>
    <x v="2"/>
    <x v="1"/>
    <s v="Social"/>
    <x v="2"/>
    <n v="1"/>
    <n v="1"/>
    <n v="1"/>
    <n v="0"/>
    <n v="0"/>
    <n v="1"/>
    <n v="0"/>
    <m/>
    <n v="80.400000000000006"/>
    <n v="1"/>
  </r>
  <r>
    <s v="USR-100013"/>
    <d v="2025-02-07T00:00:00"/>
    <x v="0"/>
    <x v="3"/>
    <x v="0"/>
    <s v="Email"/>
    <x v="0"/>
    <n v="1"/>
    <n v="0"/>
    <n v="0"/>
    <n v="0"/>
    <n v="0"/>
    <n v="0"/>
    <n v="0"/>
    <m/>
    <n v="62.4"/>
    <n v="1"/>
  </r>
  <r>
    <s v="USR-100014"/>
    <d v="2025-03-02T00:00:00"/>
    <x v="0"/>
    <x v="1"/>
    <x v="1"/>
    <s v="Social"/>
    <x v="0"/>
    <n v="1"/>
    <n v="0"/>
    <n v="0"/>
    <n v="0"/>
    <n v="0"/>
    <n v="0"/>
    <n v="0"/>
    <m/>
    <n v="82.4"/>
    <n v="1"/>
  </r>
  <r>
    <s v="USR-100015"/>
    <d v="2025-05-30T00:00:00"/>
    <x v="0"/>
    <x v="3"/>
    <x v="1"/>
    <s v="Organic"/>
    <x v="0"/>
    <n v="0"/>
    <n v="0"/>
    <n v="0"/>
    <n v="0"/>
    <n v="0"/>
    <n v="0"/>
    <n v="0"/>
    <m/>
    <n v="61.2"/>
    <n v="1"/>
  </r>
  <r>
    <s v="USR-100016"/>
    <d v="2025-03-25T00:00:00"/>
    <x v="0"/>
    <x v="3"/>
    <x v="1"/>
    <s v="Social"/>
    <x v="0"/>
    <n v="1"/>
    <n v="0"/>
    <n v="0"/>
    <n v="0"/>
    <n v="0"/>
    <n v="0"/>
    <n v="0"/>
    <m/>
    <n v="68.900000000000006"/>
    <n v="1"/>
  </r>
  <r>
    <s v="USR-100017"/>
    <d v="2025-03-27T00:00:00"/>
    <x v="0"/>
    <x v="2"/>
    <x v="0"/>
    <s v="Paid Search"/>
    <x v="1"/>
    <n v="1"/>
    <n v="1"/>
    <n v="1"/>
    <n v="0"/>
    <n v="0"/>
    <n v="0"/>
    <n v="0"/>
    <m/>
    <n v="71.900000000000006"/>
    <n v="1"/>
  </r>
  <r>
    <s v="USR-100018"/>
    <d v="2025-05-28T00:00:00"/>
    <x v="0"/>
    <x v="3"/>
    <x v="0"/>
    <s v="Paid Search"/>
    <x v="1"/>
    <n v="0"/>
    <n v="0"/>
    <n v="0"/>
    <n v="0"/>
    <n v="0"/>
    <n v="0"/>
    <n v="0"/>
    <m/>
    <n v="50.5"/>
    <n v="1"/>
  </r>
  <r>
    <s v="USR-100019"/>
    <d v="2025-02-15T00:00:00"/>
    <x v="0"/>
    <x v="0"/>
    <x v="0"/>
    <s v="Paid Search"/>
    <x v="0"/>
    <n v="0"/>
    <n v="0"/>
    <n v="0"/>
    <n v="0"/>
    <n v="0"/>
    <n v="0"/>
    <n v="0"/>
    <m/>
    <n v="49.3"/>
    <n v="1"/>
  </r>
  <r>
    <s v="USR-100020"/>
    <d v="2025-05-05T00:00:00"/>
    <x v="0"/>
    <x v="1"/>
    <x v="0"/>
    <s v="Organic"/>
    <x v="0"/>
    <n v="0"/>
    <n v="0"/>
    <n v="0"/>
    <n v="0"/>
    <n v="0"/>
    <n v="2"/>
    <n v="0"/>
    <m/>
    <n v="60.9"/>
    <n v="1"/>
  </r>
  <r>
    <s v="USR-100021"/>
    <d v="2025-04-13T00:00:00"/>
    <x v="0"/>
    <x v="2"/>
    <x v="1"/>
    <s v="Social"/>
    <x v="1"/>
    <n v="1"/>
    <n v="0"/>
    <n v="0"/>
    <n v="0"/>
    <n v="0"/>
    <n v="0"/>
    <n v="0"/>
    <m/>
    <n v="62.7"/>
    <n v="1"/>
  </r>
  <r>
    <s v="USR-100022"/>
    <d v="2025-05-07T00:00:00"/>
    <x v="0"/>
    <x v="0"/>
    <x v="0"/>
    <s v="Paid Search"/>
    <x v="1"/>
    <n v="0"/>
    <n v="0"/>
    <n v="0"/>
    <n v="0"/>
    <n v="0"/>
    <n v="0"/>
    <n v="0"/>
    <m/>
    <n v="52.7"/>
    <n v="1"/>
  </r>
  <r>
    <s v="USR-100023"/>
    <d v="2025-05-25T00:00:00"/>
    <x v="0"/>
    <x v="0"/>
    <x v="0"/>
    <s v="Organic"/>
    <x v="1"/>
    <n v="0"/>
    <n v="0"/>
    <n v="0"/>
    <n v="0"/>
    <n v="0"/>
    <n v="0"/>
    <n v="0"/>
    <m/>
    <n v="54"/>
    <n v="1"/>
  </r>
  <r>
    <s v="USR-100024"/>
    <d v="2025-04-01T00:00:00"/>
    <x v="0"/>
    <x v="2"/>
    <x v="1"/>
    <s v="Paid Search"/>
    <x v="2"/>
    <n v="1"/>
    <n v="1"/>
    <n v="0"/>
    <n v="0"/>
    <n v="0"/>
    <n v="0"/>
    <n v="0"/>
    <m/>
    <n v="51.6"/>
    <n v="1"/>
  </r>
  <r>
    <s v="USR-100025"/>
    <d v="2025-02-22T00:00:00"/>
    <x v="0"/>
    <x v="0"/>
    <x v="1"/>
    <s v="Paid Search"/>
    <x v="2"/>
    <n v="0"/>
    <n v="0"/>
    <n v="0"/>
    <n v="0"/>
    <n v="0"/>
    <n v="2"/>
    <n v="0"/>
    <m/>
    <n v="66.900000000000006"/>
    <n v="1"/>
  </r>
  <r>
    <s v="USR-100026"/>
    <d v="2025-03-24T00:00:00"/>
    <x v="0"/>
    <x v="2"/>
    <x v="1"/>
    <s v="Organic"/>
    <x v="0"/>
    <n v="0"/>
    <n v="0"/>
    <n v="0"/>
    <n v="0"/>
    <n v="0"/>
    <n v="0"/>
    <n v="0"/>
    <m/>
    <n v="67.400000000000006"/>
    <n v="1"/>
  </r>
  <r>
    <s v="USR-100027"/>
    <d v="2025-02-13T00:00:00"/>
    <x v="0"/>
    <x v="0"/>
    <x v="1"/>
    <s v="Organic"/>
    <x v="1"/>
    <n v="0"/>
    <n v="0"/>
    <n v="0"/>
    <n v="0"/>
    <n v="0"/>
    <n v="0"/>
    <n v="0"/>
    <m/>
    <n v="58.8"/>
    <n v="1"/>
  </r>
  <r>
    <s v="USR-100028"/>
    <d v="2025-05-30T00:00:00"/>
    <x v="0"/>
    <x v="3"/>
    <x v="1"/>
    <s v="Organic"/>
    <x v="1"/>
    <n v="1"/>
    <n v="0"/>
    <n v="0"/>
    <n v="0"/>
    <n v="0"/>
    <n v="0"/>
    <n v="0"/>
    <m/>
    <n v="73.8"/>
    <n v="1"/>
  </r>
  <r>
    <s v="USR-100029"/>
    <d v="2025-01-20T00:00:00"/>
    <x v="0"/>
    <x v="2"/>
    <x v="2"/>
    <s v="Organic"/>
    <x v="0"/>
    <n v="0"/>
    <n v="0"/>
    <n v="0"/>
    <n v="0"/>
    <n v="0"/>
    <n v="0"/>
    <n v="0"/>
    <m/>
    <n v="60.1"/>
    <n v="1"/>
  </r>
  <r>
    <s v="USR-100030"/>
    <d v="2025-05-19T00:00:00"/>
    <x v="0"/>
    <x v="2"/>
    <x v="1"/>
    <s v="Social"/>
    <x v="0"/>
    <n v="1"/>
    <n v="1"/>
    <n v="1"/>
    <n v="0"/>
    <n v="0"/>
    <n v="0"/>
    <n v="0"/>
    <m/>
    <n v="41"/>
    <n v="1"/>
  </r>
  <r>
    <s v="USR-100031"/>
    <d v="2025-02-18T00:00:00"/>
    <x v="0"/>
    <x v="3"/>
    <x v="1"/>
    <s v="Organic"/>
    <x v="0"/>
    <n v="1"/>
    <n v="0"/>
    <n v="0"/>
    <n v="0"/>
    <n v="0"/>
    <n v="0"/>
    <n v="0"/>
    <m/>
    <n v="80.3"/>
    <n v="1"/>
  </r>
  <r>
    <s v="USR-100032"/>
    <d v="2025-02-13T00:00:00"/>
    <x v="0"/>
    <x v="2"/>
    <x v="1"/>
    <s v="Organic"/>
    <x v="1"/>
    <n v="0"/>
    <n v="0"/>
    <n v="0"/>
    <n v="0"/>
    <n v="0"/>
    <n v="0"/>
    <n v="0"/>
    <m/>
    <n v="67.599999999999994"/>
    <n v="1"/>
  </r>
  <r>
    <s v="USR-100033"/>
    <d v="2025-03-08T00:00:00"/>
    <x v="0"/>
    <x v="2"/>
    <x v="0"/>
    <s v="Referral"/>
    <x v="2"/>
    <n v="0"/>
    <n v="0"/>
    <n v="0"/>
    <n v="0"/>
    <n v="0"/>
    <n v="0"/>
    <n v="0"/>
    <m/>
    <n v="64"/>
    <n v="1"/>
  </r>
  <r>
    <s v="USR-100034"/>
    <d v="2025-01-11T00:00:00"/>
    <x v="0"/>
    <x v="0"/>
    <x v="1"/>
    <s v="Paid Search"/>
    <x v="1"/>
    <n v="1"/>
    <n v="1"/>
    <n v="0"/>
    <n v="0"/>
    <n v="0"/>
    <n v="0"/>
    <n v="0"/>
    <m/>
    <n v="27.2"/>
    <n v="1"/>
  </r>
  <r>
    <s v="USR-100035"/>
    <d v="2025-02-12T00:00:00"/>
    <x v="0"/>
    <x v="0"/>
    <x v="0"/>
    <s v="Organic"/>
    <x v="1"/>
    <n v="1"/>
    <n v="0"/>
    <n v="0"/>
    <n v="0"/>
    <n v="0"/>
    <n v="0"/>
    <n v="0"/>
    <m/>
    <n v="85.4"/>
    <n v="1"/>
  </r>
  <r>
    <s v="USR-100036"/>
    <d v="2025-04-13T00:00:00"/>
    <x v="0"/>
    <x v="2"/>
    <x v="0"/>
    <s v="Organic"/>
    <x v="0"/>
    <n v="1"/>
    <n v="0"/>
    <n v="0"/>
    <n v="0"/>
    <n v="0"/>
    <n v="0"/>
    <n v="0"/>
    <m/>
    <n v="75.900000000000006"/>
    <n v="1"/>
  </r>
  <r>
    <s v="USR-100037"/>
    <d v="2025-05-09T00:00:00"/>
    <x v="0"/>
    <x v="2"/>
    <x v="1"/>
    <s v="Organic"/>
    <x v="2"/>
    <n v="1"/>
    <n v="0"/>
    <n v="0"/>
    <n v="0"/>
    <n v="0"/>
    <n v="1"/>
    <n v="0"/>
    <m/>
    <n v="34.799999999999997"/>
    <n v="1"/>
  </r>
  <r>
    <s v="USR-100038"/>
    <d v="2025-01-20T00:00:00"/>
    <x v="0"/>
    <x v="2"/>
    <x v="1"/>
    <s v="Organic"/>
    <x v="1"/>
    <n v="1"/>
    <n v="1"/>
    <n v="1"/>
    <n v="0"/>
    <n v="0"/>
    <n v="3"/>
    <n v="0"/>
    <m/>
    <n v="48.9"/>
    <n v="1"/>
  </r>
  <r>
    <s v="USR-100039"/>
    <d v="2025-05-13T00:00:00"/>
    <x v="0"/>
    <x v="2"/>
    <x v="1"/>
    <s v="Email"/>
    <x v="2"/>
    <n v="1"/>
    <n v="0"/>
    <n v="0"/>
    <n v="0"/>
    <n v="0"/>
    <n v="0"/>
    <n v="0"/>
    <m/>
    <n v="41.5"/>
    <n v="1"/>
  </r>
  <r>
    <s v="USR-100040"/>
    <d v="2025-04-07T00:00:00"/>
    <x v="0"/>
    <x v="0"/>
    <x v="0"/>
    <s v="Organic"/>
    <x v="0"/>
    <n v="1"/>
    <n v="0"/>
    <n v="0"/>
    <n v="0"/>
    <n v="0"/>
    <n v="0"/>
    <n v="0"/>
    <m/>
    <n v="51.5"/>
    <n v="1"/>
  </r>
  <r>
    <s v="USR-100041"/>
    <d v="2025-03-31T00:00:00"/>
    <x v="0"/>
    <x v="0"/>
    <x v="0"/>
    <s v="Organic"/>
    <x v="1"/>
    <n v="0"/>
    <n v="0"/>
    <n v="0"/>
    <n v="0"/>
    <n v="0"/>
    <n v="0"/>
    <n v="0"/>
    <m/>
    <n v="53.2"/>
    <n v="1"/>
  </r>
  <r>
    <s v="USR-100042"/>
    <d v="2025-01-25T00:00:00"/>
    <x v="0"/>
    <x v="2"/>
    <x v="1"/>
    <s v="Email"/>
    <x v="2"/>
    <n v="0"/>
    <n v="0"/>
    <n v="0"/>
    <n v="0"/>
    <n v="0"/>
    <n v="0"/>
    <n v="0"/>
    <m/>
    <n v="55.6"/>
    <n v="1"/>
  </r>
  <r>
    <s v="USR-100043"/>
    <d v="2025-02-14T00:00:00"/>
    <x v="0"/>
    <x v="3"/>
    <x v="0"/>
    <s v="Organic"/>
    <x v="1"/>
    <n v="0"/>
    <n v="0"/>
    <n v="0"/>
    <n v="0"/>
    <n v="0"/>
    <n v="0"/>
    <n v="0"/>
    <m/>
    <n v="73"/>
    <n v="1"/>
  </r>
  <r>
    <s v="USR-100044"/>
    <d v="2025-02-27T00:00:00"/>
    <x v="0"/>
    <x v="2"/>
    <x v="1"/>
    <s v="Email"/>
    <x v="1"/>
    <n v="1"/>
    <n v="0"/>
    <n v="0"/>
    <n v="0"/>
    <n v="0"/>
    <n v="0"/>
    <n v="0"/>
    <m/>
    <n v="65"/>
    <n v="1"/>
  </r>
  <r>
    <s v="USR-100045"/>
    <d v="2025-03-28T00:00:00"/>
    <x v="0"/>
    <x v="2"/>
    <x v="1"/>
    <s v="Social"/>
    <x v="1"/>
    <n v="1"/>
    <n v="0"/>
    <n v="0"/>
    <n v="0"/>
    <n v="0"/>
    <n v="4"/>
    <n v="0"/>
    <m/>
    <n v="56.3"/>
    <n v="1"/>
  </r>
  <r>
    <s v="USR-100046"/>
    <d v="2025-05-25T00:00:00"/>
    <x v="0"/>
    <x v="2"/>
    <x v="1"/>
    <s v="Referral"/>
    <x v="2"/>
    <n v="1"/>
    <n v="0"/>
    <n v="0"/>
    <n v="0"/>
    <n v="0"/>
    <n v="0"/>
    <n v="0"/>
    <m/>
    <n v="62.4"/>
    <n v="1"/>
  </r>
  <r>
    <s v="USR-100047"/>
    <d v="2025-05-05T00:00:00"/>
    <x v="0"/>
    <x v="1"/>
    <x v="0"/>
    <s v="Organic"/>
    <x v="1"/>
    <n v="1"/>
    <n v="1"/>
    <n v="1"/>
    <n v="0"/>
    <n v="0"/>
    <n v="0"/>
    <n v="0"/>
    <m/>
    <n v="58.1"/>
    <n v="1"/>
  </r>
  <r>
    <s v="USR-100048"/>
    <d v="2025-05-16T00:00:00"/>
    <x v="0"/>
    <x v="0"/>
    <x v="1"/>
    <s v="Organic"/>
    <x v="1"/>
    <n v="1"/>
    <n v="1"/>
    <n v="1"/>
    <n v="0"/>
    <n v="0"/>
    <n v="0"/>
    <n v="0"/>
    <m/>
    <n v="80.8"/>
    <n v="1"/>
  </r>
  <r>
    <s v="USR-100049"/>
    <d v="2025-01-08T00:00:00"/>
    <x v="0"/>
    <x v="0"/>
    <x v="1"/>
    <s v="Social"/>
    <x v="1"/>
    <n v="1"/>
    <n v="1"/>
    <n v="0"/>
    <n v="0"/>
    <n v="0"/>
    <n v="0"/>
    <n v="0"/>
    <m/>
    <n v="42.9"/>
    <n v="1"/>
  </r>
  <r>
    <s v="USR-100050"/>
    <d v="2025-01-06T00:00:00"/>
    <x v="0"/>
    <x v="1"/>
    <x v="0"/>
    <s v="Paid Search"/>
    <x v="1"/>
    <n v="1"/>
    <n v="0"/>
    <n v="0"/>
    <n v="0"/>
    <n v="0"/>
    <n v="0"/>
    <n v="0"/>
    <m/>
    <n v="52.7"/>
    <n v="1"/>
  </r>
  <r>
    <s v="USR-100051"/>
    <d v="2025-01-12T00:00:00"/>
    <x v="0"/>
    <x v="0"/>
    <x v="1"/>
    <s v="Social"/>
    <x v="0"/>
    <n v="0"/>
    <n v="0"/>
    <n v="0"/>
    <n v="0"/>
    <n v="0"/>
    <n v="0"/>
    <n v="0"/>
    <m/>
    <n v="46.9"/>
    <n v="1"/>
  </r>
  <r>
    <s v="USR-100052"/>
    <d v="2025-02-14T00:00:00"/>
    <x v="0"/>
    <x v="2"/>
    <x v="0"/>
    <s v="Email"/>
    <x v="2"/>
    <n v="1"/>
    <n v="0"/>
    <n v="0"/>
    <n v="0"/>
    <n v="0"/>
    <n v="0"/>
    <n v="0"/>
    <m/>
    <n v="63"/>
    <n v="1"/>
  </r>
  <r>
    <s v="USR-100053"/>
    <d v="2025-03-10T00:00:00"/>
    <x v="0"/>
    <x v="3"/>
    <x v="2"/>
    <s v="Organic"/>
    <x v="1"/>
    <n v="0"/>
    <n v="0"/>
    <n v="0"/>
    <n v="0"/>
    <n v="0"/>
    <n v="0"/>
    <n v="0"/>
    <m/>
    <n v="53.6"/>
    <n v="1"/>
  </r>
  <r>
    <s v="USR-100054"/>
    <d v="2025-04-20T00:00:00"/>
    <x v="0"/>
    <x v="1"/>
    <x v="0"/>
    <s v="Organic"/>
    <x v="0"/>
    <n v="0"/>
    <n v="0"/>
    <n v="0"/>
    <n v="0"/>
    <n v="0"/>
    <n v="0"/>
    <n v="0"/>
    <m/>
    <n v="49.6"/>
    <n v="1"/>
  </r>
  <r>
    <s v="USR-100055"/>
    <d v="2025-02-19T00:00:00"/>
    <x v="0"/>
    <x v="3"/>
    <x v="1"/>
    <s v="Organic"/>
    <x v="1"/>
    <n v="0"/>
    <n v="0"/>
    <n v="0"/>
    <n v="0"/>
    <n v="0"/>
    <n v="0"/>
    <n v="0"/>
    <m/>
    <n v="54"/>
    <n v="1"/>
  </r>
  <r>
    <s v="USR-100056"/>
    <d v="2025-05-17T00:00:00"/>
    <x v="0"/>
    <x v="3"/>
    <x v="1"/>
    <s v="Social"/>
    <x v="0"/>
    <n v="1"/>
    <n v="0"/>
    <n v="0"/>
    <n v="0"/>
    <n v="0"/>
    <n v="2"/>
    <n v="0"/>
    <m/>
    <n v="50"/>
    <n v="1"/>
  </r>
  <r>
    <s v="USR-100057"/>
    <d v="2025-04-01T00:00:00"/>
    <x v="0"/>
    <x v="2"/>
    <x v="1"/>
    <s v="Social"/>
    <x v="0"/>
    <n v="0"/>
    <n v="0"/>
    <n v="0"/>
    <n v="0"/>
    <n v="0"/>
    <n v="0"/>
    <n v="0"/>
    <m/>
    <n v="48.1"/>
    <n v="1"/>
  </r>
  <r>
    <s v="USR-100058"/>
    <d v="2025-02-04T00:00:00"/>
    <x v="0"/>
    <x v="0"/>
    <x v="0"/>
    <s v="Organic"/>
    <x v="1"/>
    <n v="1"/>
    <n v="0"/>
    <n v="0"/>
    <n v="0"/>
    <n v="0"/>
    <n v="0"/>
    <n v="0"/>
    <m/>
    <n v="49.6"/>
    <n v="1"/>
  </r>
  <r>
    <s v="USR-100059"/>
    <d v="2025-04-14T00:00:00"/>
    <x v="0"/>
    <x v="0"/>
    <x v="1"/>
    <s v="Social"/>
    <x v="1"/>
    <n v="0"/>
    <n v="0"/>
    <n v="0"/>
    <n v="0"/>
    <n v="0"/>
    <n v="2"/>
    <n v="0"/>
    <m/>
    <n v="48.9"/>
    <n v="1"/>
  </r>
  <r>
    <s v="USR-100060"/>
    <d v="2025-01-01T00:00:00"/>
    <x v="0"/>
    <x v="1"/>
    <x v="1"/>
    <s v="Social"/>
    <x v="1"/>
    <n v="1"/>
    <n v="1"/>
    <n v="1"/>
    <n v="1"/>
    <n v="240.42"/>
    <n v="0"/>
    <n v="0"/>
    <n v="16"/>
    <n v="56.5"/>
    <n v="1"/>
  </r>
  <r>
    <s v="USR-100061"/>
    <d v="2025-04-02T00:00:00"/>
    <x v="0"/>
    <x v="3"/>
    <x v="1"/>
    <s v="Referral"/>
    <x v="1"/>
    <n v="1"/>
    <n v="0"/>
    <n v="0"/>
    <n v="0"/>
    <n v="0"/>
    <n v="0"/>
    <n v="0"/>
    <m/>
    <n v="53.7"/>
    <n v="1"/>
  </r>
  <r>
    <s v="USR-100062"/>
    <d v="2025-03-29T00:00:00"/>
    <x v="0"/>
    <x v="0"/>
    <x v="1"/>
    <s v="Social"/>
    <x v="2"/>
    <n v="0"/>
    <n v="0"/>
    <n v="0"/>
    <n v="0"/>
    <n v="0"/>
    <n v="0"/>
    <n v="0"/>
    <m/>
    <n v="62.2"/>
    <n v="1"/>
  </r>
  <r>
    <s v="USR-100063"/>
    <d v="2025-05-15T00:00:00"/>
    <x v="0"/>
    <x v="3"/>
    <x v="0"/>
    <s v="Organic"/>
    <x v="1"/>
    <n v="1"/>
    <n v="0"/>
    <n v="0"/>
    <n v="0"/>
    <n v="0"/>
    <n v="0"/>
    <n v="0"/>
    <m/>
    <n v="50.2"/>
    <n v="1"/>
  </r>
  <r>
    <s v="USR-100064"/>
    <d v="2025-04-11T00:00:00"/>
    <x v="0"/>
    <x v="0"/>
    <x v="1"/>
    <s v="Organic"/>
    <x v="0"/>
    <n v="1"/>
    <n v="0"/>
    <n v="0"/>
    <n v="0"/>
    <n v="0"/>
    <n v="0"/>
    <n v="0"/>
    <m/>
    <n v="74.3"/>
    <n v="1"/>
  </r>
  <r>
    <s v="USR-100065"/>
    <d v="2025-03-07T00:00:00"/>
    <x v="0"/>
    <x v="3"/>
    <x v="0"/>
    <s v="Paid Search"/>
    <x v="1"/>
    <n v="1"/>
    <n v="0"/>
    <n v="0"/>
    <n v="0"/>
    <n v="0"/>
    <n v="0"/>
    <n v="0"/>
    <m/>
    <n v="58"/>
    <n v="1"/>
  </r>
  <r>
    <s v="USR-100066"/>
    <d v="2025-05-30T00:00:00"/>
    <x v="0"/>
    <x v="3"/>
    <x v="1"/>
    <s v="Organic"/>
    <x v="1"/>
    <n v="0"/>
    <n v="0"/>
    <n v="0"/>
    <n v="0"/>
    <n v="0"/>
    <n v="0"/>
    <n v="0"/>
    <m/>
    <n v="46.7"/>
    <n v="1"/>
  </r>
  <r>
    <s v="USR-100067"/>
    <d v="2025-01-07T00:00:00"/>
    <x v="0"/>
    <x v="3"/>
    <x v="0"/>
    <s v="Organic"/>
    <x v="2"/>
    <n v="1"/>
    <n v="0"/>
    <n v="0"/>
    <n v="0"/>
    <n v="0"/>
    <n v="1"/>
    <n v="0"/>
    <m/>
    <n v="49.6"/>
    <n v="1"/>
  </r>
  <r>
    <s v="USR-100068"/>
    <d v="2025-05-08T00:00:00"/>
    <x v="0"/>
    <x v="1"/>
    <x v="1"/>
    <s v="Social"/>
    <x v="1"/>
    <n v="0"/>
    <n v="0"/>
    <n v="0"/>
    <n v="0"/>
    <n v="0"/>
    <n v="0"/>
    <n v="0"/>
    <m/>
    <n v="60.4"/>
    <n v="1"/>
  </r>
  <r>
    <s v="USR-100069"/>
    <d v="2025-03-19T00:00:00"/>
    <x v="0"/>
    <x v="2"/>
    <x v="0"/>
    <s v="Email"/>
    <x v="1"/>
    <n v="1"/>
    <n v="1"/>
    <n v="1"/>
    <n v="0"/>
    <n v="0"/>
    <n v="0"/>
    <n v="0"/>
    <m/>
    <n v="55.3"/>
    <n v="1"/>
  </r>
  <r>
    <s v="USR-100070"/>
    <d v="2025-05-16T00:00:00"/>
    <x v="0"/>
    <x v="0"/>
    <x v="0"/>
    <s v="Organic"/>
    <x v="1"/>
    <n v="0"/>
    <n v="0"/>
    <n v="0"/>
    <n v="0"/>
    <n v="0"/>
    <n v="0"/>
    <n v="0"/>
    <m/>
    <n v="56.2"/>
    <n v="1"/>
  </r>
  <r>
    <s v="USR-100071"/>
    <d v="2025-03-08T00:00:00"/>
    <x v="0"/>
    <x v="1"/>
    <x v="1"/>
    <s v="Email"/>
    <x v="1"/>
    <n v="0"/>
    <n v="0"/>
    <n v="0"/>
    <n v="0"/>
    <n v="0"/>
    <n v="0"/>
    <n v="0"/>
    <m/>
    <n v="29.4"/>
    <n v="1"/>
  </r>
  <r>
    <s v="USR-100072"/>
    <d v="2025-03-08T00:00:00"/>
    <x v="0"/>
    <x v="2"/>
    <x v="1"/>
    <s v="Email"/>
    <x v="1"/>
    <n v="1"/>
    <n v="0"/>
    <n v="0"/>
    <n v="0"/>
    <n v="0"/>
    <n v="0"/>
    <n v="0"/>
    <m/>
    <n v="54.2"/>
    <n v="1"/>
  </r>
  <r>
    <s v="USR-100073"/>
    <d v="2025-01-14T00:00:00"/>
    <x v="0"/>
    <x v="2"/>
    <x v="0"/>
    <s v="Paid Search"/>
    <x v="0"/>
    <n v="0"/>
    <n v="0"/>
    <n v="0"/>
    <n v="0"/>
    <n v="0"/>
    <n v="0"/>
    <n v="0"/>
    <m/>
    <n v="46.4"/>
    <n v="1"/>
  </r>
  <r>
    <s v="USR-100074"/>
    <d v="2025-02-10T00:00:00"/>
    <x v="0"/>
    <x v="3"/>
    <x v="1"/>
    <s v="Paid Search"/>
    <x v="0"/>
    <n v="0"/>
    <n v="0"/>
    <n v="0"/>
    <n v="0"/>
    <n v="0"/>
    <n v="0"/>
    <n v="0"/>
    <m/>
    <n v="54.5"/>
    <n v="1"/>
  </r>
  <r>
    <s v="USR-100075"/>
    <d v="2025-03-17T00:00:00"/>
    <x v="0"/>
    <x v="0"/>
    <x v="1"/>
    <s v="Organic"/>
    <x v="1"/>
    <n v="0"/>
    <n v="0"/>
    <n v="0"/>
    <n v="0"/>
    <n v="0"/>
    <n v="0"/>
    <n v="0"/>
    <m/>
    <n v="58.5"/>
    <n v="1"/>
  </r>
  <r>
    <s v="USR-100076"/>
    <d v="2025-01-09T00:00:00"/>
    <x v="0"/>
    <x v="3"/>
    <x v="1"/>
    <s v="Email"/>
    <x v="1"/>
    <n v="0"/>
    <n v="0"/>
    <n v="0"/>
    <n v="0"/>
    <n v="0"/>
    <n v="0"/>
    <n v="0"/>
    <m/>
    <n v="75.900000000000006"/>
    <n v="1"/>
  </r>
  <r>
    <s v="USR-100077"/>
    <d v="2025-04-17T00:00:00"/>
    <x v="0"/>
    <x v="0"/>
    <x v="1"/>
    <s v="Referral"/>
    <x v="1"/>
    <n v="0"/>
    <n v="0"/>
    <n v="0"/>
    <n v="0"/>
    <n v="0"/>
    <n v="1"/>
    <n v="0"/>
    <m/>
    <n v="84.9"/>
    <n v="1"/>
  </r>
  <r>
    <s v="USR-100078"/>
    <d v="2025-01-16T00:00:00"/>
    <x v="0"/>
    <x v="0"/>
    <x v="1"/>
    <s v="Organic"/>
    <x v="1"/>
    <n v="0"/>
    <n v="0"/>
    <n v="0"/>
    <n v="0"/>
    <n v="0"/>
    <n v="2"/>
    <n v="0"/>
    <m/>
    <n v="48.4"/>
    <n v="1"/>
  </r>
  <r>
    <s v="USR-100079"/>
    <d v="2025-02-20T00:00:00"/>
    <x v="0"/>
    <x v="1"/>
    <x v="0"/>
    <s v="Organic"/>
    <x v="1"/>
    <n v="1"/>
    <n v="1"/>
    <n v="1"/>
    <n v="1"/>
    <n v="457.51"/>
    <n v="0"/>
    <n v="0"/>
    <n v="7"/>
    <n v="38"/>
    <n v="1"/>
  </r>
  <r>
    <s v="USR-100080"/>
    <d v="2025-05-21T00:00:00"/>
    <x v="0"/>
    <x v="2"/>
    <x v="1"/>
    <s v="Social"/>
    <x v="1"/>
    <n v="1"/>
    <n v="0"/>
    <n v="0"/>
    <n v="0"/>
    <n v="0"/>
    <n v="0"/>
    <n v="0"/>
    <m/>
    <n v="44.2"/>
    <n v="1"/>
  </r>
  <r>
    <s v="USR-100081"/>
    <d v="2025-05-08T00:00:00"/>
    <x v="0"/>
    <x v="3"/>
    <x v="1"/>
    <s v="Organic"/>
    <x v="1"/>
    <n v="1"/>
    <n v="1"/>
    <n v="1"/>
    <n v="0"/>
    <n v="0"/>
    <n v="0"/>
    <n v="0"/>
    <m/>
    <n v="81.2"/>
    <n v="1"/>
  </r>
  <r>
    <s v="USR-100082"/>
    <d v="2025-03-08T00:00:00"/>
    <x v="0"/>
    <x v="3"/>
    <x v="1"/>
    <s v="Referral"/>
    <x v="1"/>
    <n v="1"/>
    <n v="1"/>
    <n v="0"/>
    <n v="0"/>
    <n v="0"/>
    <n v="0"/>
    <n v="0"/>
    <m/>
    <n v="63.8"/>
    <n v="1"/>
  </r>
  <r>
    <s v="USR-100083"/>
    <d v="2025-04-01T00:00:00"/>
    <x v="0"/>
    <x v="3"/>
    <x v="0"/>
    <s v="Email"/>
    <x v="1"/>
    <n v="0"/>
    <n v="0"/>
    <n v="0"/>
    <n v="0"/>
    <n v="0"/>
    <n v="0"/>
    <n v="0"/>
    <m/>
    <n v="64.7"/>
    <n v="1"/>
  </r>
  <r>
    <s v="USR-100084"/>
    <d v="2025-03-03T00:00:00"/>
    <x v="0"/>
    <x v="1"/>
    <x v="1"/>
    <s v="Social"/>
    <x v="0"/>
    <n v="0"/>
    <n v="0"/>
    <n v="0"/>
    <n v="0"/>
    <n v="0"/>
    <n v="0"/>
    <n v="0"/>
    <m/>
    <n v="60.4"/>
    <n v="1"/>
  </r>
  <r>
    <s v="USR-100085"/>
    <d v="2025-04-16T00:00:00"/>
    <x v="0"/>
    <x v="3"/>
    <x v="1"/>
    <s v="Paid Search"/>
    <x v="1"/>
    <n v="0"/>
    <n v="0"/>
    <n v="0"/>
    <n v="0"/>
    <n v="0"/>
    <n v="0"/>
    <n v="0"/>
    <m/>
    <n v="66.599999999999994"/>
    <n v="1"/>
  </r>
  <r>
    <s v="USR-100086"/>
    <d v="2025-01-09T00:00:00"/>
    <x v="0"/>
    <x v="0"/>
    <x v="0"/>
    <s v="Organic"/>
    <x v="1"/>
    <n v="1"/>
    <n v="0"/>
    <n v="0"/>
    <n v="0"/>
    <n v="0"/>
    <n v="0"/>
    <n v="0"/>
    <m/>
    <n v="50.9"/>
    <n v="1"/>
  </r>
  <r>
    <s v="USR-100087"/>
    <d v="2025-01-22T00:00:00"/>
    <x v="0"/>
    <x v="1"/>
    <x v="0"/>
    <s v="Social"/>
    <x v="0"/>
    <n v="0"/>
    <n v="0"/>
    <n v="0"/>
    <n v="0"/>
    <n v="0"/>
    <n v="0"/>
    <n v="0"/>
    <m/>
    <n v="51"/>
    <n v="1"/>
  </r>
  <r>
    <s v="USR-100088"/>
    <d v="2025-04-30T00:00:00"/>
    <x v="0"/>
    <x v="3"/>
    <x v="1"/>
    <s v="Email"/>
    <x v="2"/>
    <n v="0"/>
    <n v="0"/>
    <n v="0"/>
    <n v="0"/>
    <n v="0"/>
    <n v="0"/>
    <n v="0"/>
    <m/>
    <n v="65.8"/>
    <n v="1"/>
  </r>
  <r>
    <s v="USR-100089"/>
    <d v="2025-04-25T00:00:00"/>
    <x v="0"/>
    <x v="0"/>
    <x v="1"/>
    <s v="Referral"/>
    <x v="0"/>
    <n v="1"/>
    <n v="0"/>
    <n v="0"/>
    <n v="0"/>
    <n v="0"/>
    <n v="0"/>
    <n v="0"/>
    <m/>
    <n v="61.8"/>
    <n v="1"/>
  </r>
  <r>
    <s v="USR-100090"/>
    <d v="2025-02-01T00:00:00"/>
    <x v="0"/>
    <x v="0"/>
    <x v="1"/>
    <s v="Organic"/>
    <x v="0"/>
    <n v="1"/>
    <n v="0"/>
    <n v="0"/>
    <n v="0"/>
    <n v="0"/>
    <n v="0"/>
    <n v="0"/>
    <m/>
    <n v="54.5"/>
    <n v="1"/>
  </r>
  <r>
    <s v="USR-100091"/>
    <d v="2025-04-23T00:00:00"/>
    <x v="0"/>
    <x v="3"/>
    <x v="0"/>
    <s v="Organic"/>
    <x v="1"/>
    <n v="1"/>
    <n v="0"/>
    <n v="0"/>
    <n v="0"/>
    <n v="0"/>
    <n v="0"/>
    <n v="0"/>
    <m/>
    <n v="72.2"/>
    <n v="1"/>
  </r>
  <r>
    <s v="USR-100092"/>
    <d v="2025-02-27T00:00:00"/>
    <x v="0"/>
    <x v="3"/>
    <x v="1"/>
    <s v="Social"/>
    <x v="1"/>
    <n v="1"/>
    <n v="0"/>
    <n v="0"/>
    <n v="0"/>
    <n v="0"/>
    <n v="0"/>
    <n v="0"/>
    <m/>
    <n v="42.3"/>
    <n v="1"/>
  </r>
  <r>
    <s v="USR-100093"/>
    <d v="2025-04-09T00:00:00"/>
    <x v="0"/>
    <x v="2"/>
    <x v="0"/>
    <s v="Organic"/>
    <x v="0"/>
    <n v="1"/>
    <n v="0"/>
    <n v="0"/>
    <n v="0"/>
    <n v="0"/>
    <n v="0"/>
    <n v="0"/>
    <m/>
    <n v="76.2"/>
    <n v="1"/>
  </r>
  <r>
    <s v="USR-100094"/>
    <d v="2025-05-13T00:00:00"/>
    <x v="0"/>
    <x v="3"/>
    <x v="2"/>
    <s v="Organic"/>
    <x v="2"/>
    <n v="1"/>
    <n v="1"/>
    <n v="1"/>
    <n v="0"/>
    <n v="0"/>
    <n v="1"/>
    <n v="0"/>
    <m/>
    <n v="37.4"/>
    <n v="1"/>
  </r>
  <r>
    <s v="USR-100095"/>
    <d v="2025-04-13T00:00:00"/>
    <x v="0"/>
    <x v="2"/>
    <x v="1"/>
    <s v="Organic"/>
    <x v="1"/>
    <n v="0"/>
    <n v="0"/>
    <n v="0"/>
    <n v="0"/>
    <n v="0"/>
    <n v="0"/>
    <n v="0"/>
    <m/>
    <n v="84.2"/>
    <n v="1"/>
  </r>
  <r>
    <s v="USR-100096"/>
    <d v="2025-02-05T00:00:00"/>
    <x v="0"/>
    <x v="2"/>
    <x v="1"/>
    <s v="Social"/>
    <x v="1"/>
    <n v="0"/>
    <n v="0"/>
    <n v="0"/>
    <n v="0"/>
    <n v="0"/>
    <n v="0"/>
    <n v="0"/>
    <m/>
    <n v="68"/>
    <n v="2"/>
  </r>
  <r>
    <s v="USR-100097"/>
    <d v="2025-02-14T00:00:00"/>
    <x v="0"/>
    <x v="1"/>
    <x v="1"/>
    <s v="Organic"/>
    <x v="0"/>
    <n v="1"/>
    <n v="0"/>
    <n v="0"/>
    <n v="0"/>
    <n v="0"/>
    <n v="0"/>
    <n v="0"/>
    <m/>
    <n v="53.5"/>
    <n v="1"/>
  </r>
  <r>
    <s v="USR-100098"/>
    <d v="2025-02-11T00:00:00"/>
    <x v="0"/>
    <x v="0"/>
    <x v="0"/>
    <s v="Organic"/>
    <x v="2"/>
    <n v="1"/>
    <n v="0"/>
    <n v="0"/>
    <n v="0"/>
    <n v="0"/>
    <n v="0"/>
    <n v="0"/>
    <m/>
    <n v="63.2"/>
    <n v="1"/>
  </r>
  <r>
    <s v="USR-100099"/>
    <d v="2025-02-11T00:00:00"/>
    <x v="0"/>
    <x v="2"/>
    <x v="0"/>
    <s v="Social"/>
    <x v="1"/>
    <n v="1"/>
    <n v="1"/>
    <n v="1"/>
    <n v="1"/>
    <n v="363.32"/>
    <n v="0"/>
    <n v="0"/>
    <n v="9"/>
    <n v="55.9"/>
    <n v="1"/>
  </r>
  <r>
    <s v="USR-100100"/>
    <d v="2025-05-26T00:00:00"/>
    <x v="0"/>
    <x v="0"/>
    <x v="1"/>
    <s v="Organic"/>
    <x v="1"/>
    <n v="1"/>
    <n v="0"/>
    <n v="0"/>
    <n v="0"/>
    <n v="0"/>
    <n v="0"/>
    <n v="0"/>
    <m/>
    <n v="63.5"/>
    <n v="1"/>
  </r>
  <r>
    <s v="USR-100101"/>
    <d v="2025-03-22T00:00:00"/>
    <x v="0"/>
    <x v="0"/>
    <x v="1"/>
    <s v="Paid Search"/>
    <x v="0"/>
    <n v="1"/>
    <n v="0"/>
    <n v="0"/>
    <n v="0"/>
    <n v="0"/>
    <n v="0"/>
    <n v="0"/>
    <m/>
    <n v="51.5"/>
    <n v="1"/>
  </r>
  <r>
    <s v="USR-100102"/>
    <d v="2025-04-08T00:00:00"/>
    <x v="0"/>
    <x v="1"/>
    <x v="1"/>
    <s v="Paid Search"/>
    <x v="1"/>
    <n v="1"/>
    <n v="0"/>
    <n v="0"/>
    <n v="0"/>
    <n v="0"/>
    <n v="0"/>
    <n v="0"/>
    <m/>
    <n v="74.400000000000006"/>
    <n v="1"/>
  </r>
  <r>
    <s v="USR-100103"/>
    <d v="2025-04-14T00:00:00"/>
    <x v="0"/>
    <x v="0"/>
    <x v="0"/>
    <s v="Social"/>
    <x v="1"/>
    <n v="1"/>
    <n v="1"/>
    <n v="1"/>
    <n v="1"/>
    <n v="3887.98"/>
    <n v="0"/>
    <n v="0"/>
    <n v="13"/>
    <n v="60.2"/>
    <n v="1"/>
  </r>
  <r>
    <s v="USR-100104"/>
    <d v="2025-03-27T00:00:00"/>
    <x v="0"/>
    <x v="3"/>
    <x v="1"/>
    <s v="Email"/>
    <x v="1"/>
    <n v="1"/>
    <n v="0"/>
    <n v="0"/>
    <n v="0"/>
    <n v="0"/>
    <n v="1"/>
    <n v="0"/>
    <m/>
    <n v="67.2"/>
    <n v="1"/>
  </r>
  <r>
    <s v="USR-100105"/>
    <d v="2025-01-05T00:00:00"/>
    <x v="0"/>
    <x v="3"/>
    <x v="1"/>
    <s v="Social"/>
    <x v="1"/>
    <n v="1"/>
    <n v="1"/>
    <n v="1"/>
    <n v="0"/>
    <n v="0"/>
    <n v="0"/>
    <n v="0"/>
    <m/>
    <n v="79.599999999999994"/>
    <n v="1"/>
  </r>
  <r>
    <s v="USR-100106"/>
    <d v="2025-01-25T00:00:00"/>
    <x v="0"/>
    <x v="3"/>
    <x v="1"/>
    <s v="Social"/>
    <x v="0"/>
    <n v="1"/>
    <n v="1"/>
    <n v="1"/>
    <n v="1"/>
    <n v="8610.7199999999993"/>
    <n v="0"/>
    <n v="0"/>
    <n v="6"/>
    <n v="61"/>
    <n v="1"/>
  </r>
  <r>
    <s v="USR-100107"/>
    <d v="2025-01-23T00:00:00"/>
    <x v="0"/>
    <x v="1"/>
    <x v="1"/>
    <s v="Email"/>
    <x v="1"/>
    <n v="1"/>
    <n v="1"/>
    <n v="1"/>
    <n v="0"/>
    <n v="0"/>
    <n v="4"/>
    <n v="0"/>
    <m/>
    <n v="51.1"/>
    <n v="1"/>
  </r>
  <r>
    <s v="USR-100108"/>
    <d v="2025-05-25T00:00:00"/>
    <x v="0"/>
    <x v="2"/>
    <x v="0"/>
    <s v="Referral"/>
    <x v="1"/>
    <n v="1"/>
    <n v="0"/>
    <n v="0"/>
    <n v="0"/>
    <n v="0"/>
    <n v="0"/>
    <n v="0"/>
    <m/>
    <n v="92.1"/>
    <n v="1"/>
  </r>
  <r>
    <s v="USR-100109"/>
    <d v="2025-03-22T00:00:00"/>
    <x v="0"/>
    <x v="3"/>
    <x v="1"/>
    <s v="Referral"/>
    <x v="0"/>
    <n v="0"/>
    <n v="0"/>
    <n v="0"/>
    <n v="0"/>
    <n v="0"/>
    <n v="0"/>
    <n v="0"/>
    <m/>
    <n v="82.1"/>
    <n v="1"/>
  </r>
  <r>
    <s v="USR-100110"/>
    <d v="2025-02-12T00:00:00"/>
    <x v="0"/>
    <x v="1"/>
    <x v="0"/>
    <s v="Paid Search"/>
    <x v="0"/>
    <n v="1"/>
    <n v="0"/>
    <n v="0"/>
    <n v="0"/>
    <n v="0"/>
    <n v="1"/>
    <n v="0"/>
    <m/>
    <n v="74"/>
    <n v="1"/>
  </r>
  <r>
    <s v="USR-100111"/>
    <d v="2025-04-28T00:00:00"/>
    <x v="0"/>
    <x v="1"/>
    <x v="0"/>
    <s v="Organic"/>
    <x v="0"/>
    <n v="1"/>
    <n v="0"/>
    <n v="0"/>
    <n v="0"/>
    <n v="0"/>
    <n v="0"/>
    <n v="0"/>
    <m/>
    <n v="63.4"/>
    <n v="1"/>
  </r>
  <r>
    <s v="USR-100112"/>
    <d v="2025-01-30T00:00:00"/>
    <x v="0"/>
    <x v="0"/>
    <x v="1"/>
    <s v="Organic"/>
    <x v="0"/>
    <n v="1"/>
    <n v="0"/>
    <n v="0"/>
    <n v="0"/>
    <n v="0"/>
    <n v="0"/>
    <n v="0"/>
    <m/>
    <n v="53.2"/>
    <n v="1"/>
  </r>
  <r>
    <s v="USR-100113"/>
    <d v="2025-05-19T00:00:00"/>
    <x v="0"/>
    <x v="2"/>
    <x v="2"/>
    <s v="Paid Search"/>
    <x v="1"/>
    <n v="0"/>
    <n v="0"/>
    <n v="0"/>
    <n v="0"/>
    <n v="0"/>
    <n v="0"/>
    <n v="0"/>
    <m/>
    <n v="48.1"/>
    <n v="1"/>
  </r>
  <r>
    <s v="USR-100114"/>
    <d v="2025-01-23T00:00:00"/>
    <x v="0"/>
    <x v="3"/>
    <x v="1"/>
    <s v="Social"/>
    <x v="1"/>
    <n v="1"/>
    <n v="1"/>
    <n v="0"/>
    <n v="0"/>
    <n v="0"/>
    <n v="0"/>
    <n v="0"/>
    <m/>
    <n v="61.5"/>
    <n v="1"/>
  </r>
  <r>
    <s v="USR-100115"/>
    <d v="2025-03-28T00:00:00"/>
    <x v="0"/>
    <x v="2"/>
    <x v="0"/>
    <s v="Social"/>
    <x v="1"/>
    <n v="1"/>
    <n v="0"/>
    <n v="0"/>
    <n v="0"/>
    <n v="0"/>
    <n v="0"/>
    <n v="0"/>
    <m/>
    <n v="63.2"/>
    <n v="1"/>
  </r>
  <r>
    <s v="USR-100116"/>
    <d v="2025-01-11T00:00:00"/>
    <x v="0"/>
    <x v="1"/>
    <x v="1"/>
    <s v="Organic"/>
    <x v="1"/>
    <n v="0"/>
    <n v="0"/>
    <n v="0"/>
    <n v="0"/>
    <n v="0"/>
    <n v="0"/>
    <n v="0"/>
    <m/>
    <n v="71.900000000000006"/>
    <n v="1"/>
  </r>
  <r>
    <s v="USR-100117"/>
    <d v="2025-04-11T00:00:00"/>
    <x v="0"/>
    <x v="0"/>
    <x v="1"/>
    <s v="Referral"/>
    <x v="1"/>
    <n v="0"/>
    <n v="0"/>
    <n v="0"/>
    <n v="0"/>
    <n v="0"/>
    <n v="0"/>
    <n v="0"/>
    <m/>
    <n v="62.7"/>
    <n v="1"/>
  </r>
  <r>
    <s v="USR-100118"/>
    <d v="2025-01-02T00:00:00"/>
    <x v="0"/>
    <x v="1"/>
    <x v="1"/>
    <s v="Paid Search"/>
    <x v="1"/>
    <n v="1"/>
    <n v="0"/>
    <n v="0"/>
    <n v="0"/>
    <n v="0"/>
    <n v="0"/>
    <n v="0"/>
    <m/>
    <n v="51.5"/>
    <n v="1"/>
  </r>
  <r>
    <s v="USR-100119"/>
    <d v="2025-03-18T00:00:00"/>
    <x v="0"/>
    <x v="2"/>
    <x v="1"/>
    <s v="Social"/>
    <x v="1"/>
    <n v="1"/>
    <n v="1"/>
    <n v="1"/>
    <n v="0"/>
    <n v="0"/>
    <n v="0"/>
    <n v="0"/>
    <m/>
    <n v="39.1"/>
    <n v="1"/>
  </r>
  <r>
    <s v="USR-100120"/>
    <d v="2025-03-31T00:00:00"/>
    <x v="0"/>
    <x v="0"/>
    <x v="1"/>
    <s v="Email"/>
    <x v="1"/>
    <n v="1"/>
    <n v="0"/>
    <n v="0"/>
    <n v="0"/>
    <n v="0"/>
    <n v="0"/>
    <n v="0"/>
    <m/>
    <n v="43.8"/>
    <n v="1"/>
  </r>
  <r>
    <s v="USR-100121"/>
    <d v="2025-01-06T00:00:00"/>
    <x v="0"/>
    <x v="0"/>
    <x v="1"/>
    <s v="Paid Search"/>
    <x v="0"/>
    <n v="1"/>
    <n v="0"/>
    <n v="0"/>
    <n v="0"/>
    <n v="0"/>
    <n v="0"/>
    <n v="0"/>
    <m/>
    <n v="59.9"/>
    <n v="1"/>
  </r>
  <r>
    <s v="USR-100122"/>
    <d v="2025-01-26T00:00:00"/>
    <x v="0"/>
    <x v="0"/>
    <x v="1"/>
    <s v="Referral"/>
    <x v="1"/>
    <n v="1"/>
    <n v="1"/>
    <n v="0"/>
    <n v="0"/>
    <n v="0"/>
    <n v="0"/>
    <n v="0"/>
    <m/>
    <n v="71.400000000000006"/>
    <n v="1"/>
  </r>
  <r>
    <s v="USR-100123"/>
    <d v="2025-04-22T00:00:00"/>
    <x v="0"/>
    <x v="3"/>
    <x v="1"/>
    <s v="Referral"/>
    <x v="0"/>
    <n v="0"/>
    <n v="0"/>
    <n v="0"/>
    <n v="0"/>
    <n v="0"/>
    <n v="0"/>
    <n v="0"/>
    <m/>
    <n v="36.1"/>
    <n v="1"/>
  </r>
  <r>
    <s v="USR-100124"/>
    <d v="2025-05-30T00:00:00"/>
    <x v="0"/>
    <x v="1"/>
    <x v="3"/>
    <s v="Email"/>
    <x v="0"/>
    <n v="1"/>
    <n v="1"/>
    <n v="0"/>
    <n v="0"/>
    <n v="0"/>
    <n v="0"/>
    <n v="0"/>
    <m/>
    <n v="47.9"/>
    <n v="1"/>
  </r>
  <r>
    <s v="USR-100125"/>
    <d v="2025-05-18T00:00:00"/>
    <x v="0"/>
    <x v="1"/>
    <x v="0"/>
    <s v="Organic"/>
    <x v="2"/>
    <n v="1"/>
    <n v="0"/>
    <n v="0"/>
    <n v="0"/>
    <n v="0"/>
    <n v="0"/>
    <n v="0"/>
    <m/>
    <n v="62.5"/>
    <n v="1"/>
  </r>
  <r>
    <s v="USR-100126"/>
    <d v="2025-01-13T00:00:00"/>
    <x v="0"/>
    <x v="3"/>
    <x v="0"/>
    <s v="Paid Search"/>
    <x v="2"/>
    <n v="1"/>
    <n v="0"/>
    <n v="0"/>
    <n v="0"/>
    <n v="0"/>
    <n v="0"/>
    <n v="0"/>
    <m/>
    <n v="56.9"/>
    <n v="1"/>
  </r>
  <r>
    <s v="USR-100127"/>
    <d v="2025-03-25T00:00:00"/>
    <x v="0"/>
    <x v="0"/>
    <x v="0"/>
    <s v="Email"/>
    <x v="1"/>
    <n v="0"/>
    <n v="0"/>
    <n v="0"/>
    <n v="0"/>
    <n v="0"/>
    <n v="0"/>
    <n v="0"/>
    <m/>
    <n v="64.7"/>
    <n v="1"/>
  </r>
  <r>
    <s v="USR-100128"/>
    <d v="2025-04-29T00:00:00"/>
    <x v="0"/>
    <x v="3"/>
    <x v="0"/>
    <s v="Organic"/>
    <x v="1"/>
    <n v="1"/>
    <n v="1"/>
    <n v="1"/>
    <n v="0"/>
    <n v="0"/>
    <n v="0"/>
    <n v="0"/>
    <m/>
    <n v="64"/>
    <n v="1"/>
  </r>
  <r>
    <s v="USR-100129"/>
    <d v="2025-05-17T00:00:00"/>
    <x v="0"/>
    <x v="2"/>
    <x v="1"/>
    <s v="Referral"/>
    <x v="0"/>
    <n v="1"/>
    <n v="1"/>
    <n v="1"/>
    <n v="0"/>
    <n v="0"/>
    <n v="0"/>
    <n v="0"/>
    <m/>
    <n v="75.2"/>
    <n v="1"/>
  </r>
  <r>
    <s v="USR-100130"/>
    <d v="2025-01-02T00:00:00"/>
    <x v="0"/>
    <x v="0"/>
    <x v="1"/>
    <s v="Paid Search"/>
    <x v="1"/>
    <n v="1"/>
    <n v="0"/>
    <n v="0"/>
    <n v="0"/>
    <n v="0"/>
    <n v="1"/>
    <n v="0"/>
    <m/>
    <n v="79"/>
    <n v="1"/>
  </r>
  <r>
    <s v="USR-100131"/>
    <d v="2025-02-03T00:00:00"/>
    <x v="0"/>
    <x v="3"/>
    <x v="1"/>
    <s v="Organic"/>
    <x v="1"/>
    <n v="0"/>
    <n v="0"/>
    <n v="0"/>
    <n v="0"/>
    <n v="0"/>
    <n v="0"/>
    <n v="0"/>
    <m/>
    <n v="33"/>
    <n v="1"/>
  </r>
  <r>
    <s v="USR-100132"/>
    <d v="2025-03-04T00:00:00"/>
    <x v="0"/>
    <x v="2"/>
    <x v="1"/>
    <s v="Organic"/>
    <x v="1"/>
    <n v="1"/>
    <n v="0"/>
    <n v="0"/>
    <n v="0"/>
    <n v="0"/>
    <n v="0"/>
    <n v="0"/>
    <m/>
    <n v="67.900000000000006"/>
    <n v="1"/>
  </r>
  <r>
    <s v="USR-100133"/>
    <d v="2025-01-26T00:00:00"/>
    <x v="0"/>
    <x v="3"/>
    <x v="1"/>
    <s v="Paid Search"/>
    <x v="0"/>
    <n v="0"/>
    <n v="0"/>
    <n v="0"/>
    <n v="0"/>
    <n v="0"/>
    <n v="0"/>
    <n v="0"/>
    <m/>
    <n v="42.2"/>
    <n v="1"/>
  </r>
  <r>
    <s v="USR-100134"/>
    <d v="2025-05-12T00:00:00"/>
    <x v="0"/>
    <x v="1"/>
    <x v="1"/>
    <s v="Paid Search"/>
    <x v="0"/>
    <n v="1"/>
    <n v="1"/>
    <n v="1"/>
    <n v="0"/>
    <n v="0"/>
    <n v="0"/>
    <n v="0"/>
    <m/>
    <n v="43.4"/>
    <n v="1"/>
  </r>
  <r>
    <s v="USR-100135"/>
    <d v="2025-03-06T00:00:00"/>
    <x v="0"/>
    <x v="0"/>
    <x v="1"/>
    <s v="Organic"/>
    <x v="0"/>
    <n v="0"/>
    <n v="0"/>
    <n v="0"/>
    <n v="0"/>
    <n v="0"/>
    <n v="0"/>
    <n v="0"/>
    <m/>
    <n v="54.4"/>
    <n v="1"/>
  </r>
  <r>
    <s v="USR-100136"/>
    <d v="2025-03-10T00:00:00"/>
    <x v="0"/>
    <x v="3"/>
    <x v="0"/>
    <s v="Email"/>
    <x v="2"/>
    <n v="0"/>
    <n v="0"/>
    <n v="0"/>
    <n v="0"/>
    <n v="0"/>
    <n v="0"/>
    <n v="0"/>
    <m/>
    <n v="45.7"/>
    <n v="1"/>
  </r>
  <r>
    <s v="USR-100137"/>
    <d v="2025-05-06T00:00:00"/>
    <x v="0"/>
    <x v="0"/>
    <x v="1"/>
    <s v="Paid Search"/>
    <x v="1"/>
    <n v="0"/>
    <n v="0"/>
    <n v="0"/>
    <n v="0"/>
    <n v="0"/>
    <n v="3"/>
    <n v="0"/>
    <m/>
    <n v="32"/>
    <n v="1"/>
  </r>
  <r>
    <s v="USR-100138"/>
    <d v="2025-02-23T00:00:00"/>
    <x v="0"/>
    <x v="3"/>
    <x v="0"/>
    <s v="Paid Search"/>
    <x v="1"/>
    <n v="1"/>
    <n v="0"/>
    <n v="0"/>
    <n v="0"/>
    <n v="0"/>
    <n v="0"/>
    <n v="0"/>
    <m/>
    <n v="70.900000000000006"/>
    <n v="1"/>
  </r>
  <r>
    <s v="USR-100139"/>
    <d v="2025-01-29T00:00:00"/>
    <x v="0"/>
    <x v="1"/>
    <x v="1"/>
    <s v="Social"/>
    <x v="0"/>
    <n v="1"/>
    <n v="1"/>
    <n v="1"/>
    <n v="0"/>
    <n v="0"/>
    <n v="0"/>
    <n v="0"/>
    <m/>
    <n v="59.1"/>
    <n v="1"/>
  </r>
  <r>
    <s v="USR-100140"/>
    <d v="2025-01-31T00:00:00"/>
    <x v="0"/>
    <x v="0"/>
    <x v="1"/>
    <s v="Organic"/>
    <x v="0"/>
    <n v="0"/>
    <n v="0"/>
    <n v="0"/>
    <n v="0"/>
    <n v="0"/>
    <n v="0"/>
    <n v="0"/>
    <m/>
    <n v="62.4"/>
    <n v="1"/>
  </r>
  <r>
    <s v="USR-100141"/>
    <d v="2025-01-19T00:00:00"/>
    <x v="0"/>
    <x v="3"/>
    <x v="1"/>
    <s v="Organic"/>
    <x v="1"/>
    <n v="0"/>
    <n v="0"/>
    <n v="0"/>
    <n v="0"/>
    <n v="0"/>
    <n v="0"/>
    <n v="0"/>
    <m/>
    <n v="49.6"/>
    <n v="1"/>
  </r>
  <r>
    <s v="USR-100142"/>
    <d v="2025-04-03T00:00:00"/>
    <x v="0"/>
    <x v="1"/>
    <x v="0"/>
    <s v="Social"/>
    <x v="1"/>
    <n v="1"/>
    <n v="1"/>
    <n v="1"/>
    <n v="1"/>
    <n v="404.4"/>
    <n v="0"/>
    <n v="0"/>
    <n v="9"/>
    <n v="80.599999999999994"/>
    <n v="1"/>
  </r>
  <r>
    <s v="USR-100143"/>
    <d v="2025-04-07T00:00:00"/>
    <x v="0"/>
    <x v="0"/>
    <x v="1"/>
    <s v="Paid Search"/>
    <x v="1"/>
    <n v="1"/>
    <n v="0"/>
    <n v="0"/>
    <n v="0"/>
    <n v="0"/>
    <n v="0"/>
    <n v="0"/>
    <m/>
    <n v="47.9"/>
    <n v="1"/>
  </r>
  <r>
    <s v="USR-100144"/>
    <d v="2025-01-06T00:00:00"/>
    <x v="0"/>
    <x v="2"/>
    <x v="1"/>
    <s v="Paid Search"/>
    <x v="0"/>
    <n v="1"/>
    <n v="1"/>
    <n v="0"/>
    <n v="0"/>
    <n v="0"/>
    <n v="0"/>
    <n v="0"/>
    <m/>
    <n v="54.8"/>
    <n v="1"/>
  </r>
  <r>
    <s v="USR-100145"/>
    <d v="2025-04-11T00:00:00"/>
    <x v="0"/>
    <x v="2"/>
    <x v="1"/>
    <s v="Organic"/>
    <x v="1"/>
    <n v="1"/>
    <n v="0"/>
    <n v="0"/>
    <n v="0"/>
    <n v="0"/>
    <n v="1"/>
    <n v="0"/>
    <m/>
    <n v="53.9"/>
    <n v="1"/>
  </r>
  <r>
    <s v="USR-100146"/>
    <d v="2025-04-23T00:00:00"/>
    <x v="0"/>
    <x v="2"/>
    <x v="1"/>
    <s v="Paid Search"/>
    <x v="1"/>
    <n v="1"/>
    <n v="0"/>
    <n v="0"/>
    <n v="0"/>
    <n v="0"/>
    <n v="0"/>
    <n v="0"/>
    <m/>
    <n v="41.3"/>
    <n v="1"/>
  </r>
  <r>
    <s v="USR-100147"/>
    <d v="2025-03-25T00:00:00"/>
    <x v="0"/>
    <x v="1"/>
    <x v="1"/>
    <s v="Organic"/>
    <x v="0"/>
    <n v="1"/>
    <n v="1"/>
    <n v="0"/>
    <n v="0"/>
    <n v="0"/>
    <n v="0"/>
    <n v="0"/>
    <m/>
    <n v="38.9"/>
    <n v="1"/>
  </r>
  <r>
    <s v="USR-100148"/>
    <d v="2025-05-25T00:00:00"/>
    <x v="0"/>
    <x v="3"/>
    <x v="0"/>
    <s v="Organic"/>
    <x v="0"/>
    <n v="1"/>
    <n v="0"/>
    <n v="0"/>
    <n v="0"/>
    <n v="0"/>
    <n v="0"/>
    <n v="0"/>
    <m/>
    <n v="63.6"/>
    <n v="1"/>
  </r>
  <r>
    <s v="USR-100149"/>
    <d v="2025-01-28T00:00:00"/>
    <x v="0"/>
    <x v="0"/>
    <x v="1"/>
    <s v="Organic"/>
    <x v="1"/>
    <n v="1"/>
    <n v="1"/>
    <n v="1"/>
    <n v="1"/>
    <n v="577.94000000000005"/>
    <n v="0"/>
    <n v="0"/>
    <n v="9"/>
    <n v="76.599999999999994"/>
    <n v="1"/>
  </r>
  <r>
    <s v="USR-100150"/>
    <d v="2025-02-12T00:00:00"/>
    <x v="0"/>
    <x v="1"/>
    <x v="1"/>
    <s v="Paid Search"/>
    <x v="2"/>
    <n v="0"/>
    <n v="0"/>
    <n v="0"/>
    <n v="0"/>
    <n v="0"/>
    <n v="1"/>
    <n v="0"/>
    <m/>
    <n v="67.599999999999994"/>
    <n v="1"/>
  </r>
  <r>
    <s v="USR-100151"/>
    <d v="2025-04-29T00:00:00"/>
    <x v="0"/>
    <x v="0"/>
    <x v="1"/>
    <s v="Social"/>
    <x v="2"/>
    <n v="1"/>
    <n v="0"/>
    <n v="0"/>
    <n v="0"/>
    <n v="0"/>
    <n v="0"/>
    <n v="0"/>
    <m/>
    <n v="43.1"/>
    <n v="1"/>
  </r>
  <r>
    <s v="USR-100152"/>
    <d v="2025-03-13T00:00:00"/>
    <x v="0"/>
    <x v="3"/>
    <x v="1"/>
    <s v="Email"/>
    <x v="1"/>
    <n v="1"/>
    <n v="0"/>
    <n v="0"/>
    <n v="0"/>
    <n v="0"/>
    <n v="0"/>
    <n v="0"/>
    <m/>
    <n v="58.3"/>
    <n v="1"/>
  </r>
  <r>
    <s v="USR-100153"/>
    <d v="2025-02-04T00:00:00"/>
    <x v="0"/>
    <x v="2"/>
    <x v="0"/>
    <s v="Paid Search"/>
    <x v="1"/>
    <n v="1"/>
    <n v="0"/>
    <n v="0"/>
    <n v="0"/>
    <n v="0"/>
    <n v="0"/>
    <n v="0"/>
    <m/>
    <n v="69.8"/>
    <n v="1"/>
  </r>
  <r>
    <s v="USR-100154"/>
    <d v="2025-03-04T00:00:00"/>
    <x v="0"/>
    <x v="3"/>
    <x v="1"/>
    <s v="Referral"/>
    <x v="1"/>
    <n v="1"/>
    <n v="1"/>
    <n v="0"/>
    <n v="0"/>
    <n v="0"/>
    <n v="0"/>
    <n v="0"/>
    <m/>
    <m/>
    <n v="1"/>
  </r>
  <r>
    <s v="USR-100155"/>
    <d v="2025-02-04T00:00:00"/>
    <x v="0"/>
    <x v="1"/>
    <x v="1"/>
    <s v="Paid Search"/>
    <x v="0"/>
    <n v="1"/>
    <n v="1"/>
    <n v="0"/>
    <n v="0"/>
    <n v="0"/>
    <n v="0"/>
    <n v="0"/>
    <m/>
    <n v="41.9"/>
    <n v="1"/>
  </r>
  <r>
    <s v="USR-100156"/>
    <d v="2025-03-11T00:00:00"/>
    <x v="0"/>
    <x v="0"/>
    <x v="0"/>
    <s v="Organic"/>
    <x v="1"/>
    <n v="0"/>
    <n v="0"/>
    <n v="0"/>
    <n v="0"/>
    <n v="0"/>
    <n v="0"/>
    <n v="0"/>
    <m/>
    <n v="33.1"/>
    <n v="1"/>
  </r>
  <r>
    <s v="USR-100157"/>
    <d v="2025-04-22T00:00:00"/>
    <x v="0"/>
    <x v="1"/>
    <x v="1"/>
    <s v="Organic"/>
    <x v="1"/>
    <n v="0"/>
    <n v="0"/>
    <n v="0"/>
    <n v="0"/>
    <n v="0"/>
    <n v="0"/>
    <n v="0"/>
    <m/>
    <n v="58.6"/>
    <n v="1"/>
  </r>
  <r>
    <s v="USR-100158"/>
    <d v="2025-03-08T00:00:00"/>
    <x v="0"/>
    <x v="0"/>
    <x v="0"/>
    <s v="Paid Search"/>
    <x v="1"/>
    <n v="0"/>
    <n v="0"/>
    <n v="0"/>
    <n v="0"/>
    <n v="0"/>
    <n v="0"/>
    <n v="0"/>
    <m/>
    <n v="55.7"/>
    <n v="1"/>
  </r>
  <r>
    <s v="USR-100159"/>
    <d v="2025-03-10T00:00:00"/>
    <x v="0"/>
    <x v="2"/>
    <x v="1"/>
    <s v="Organic"/>
    <x v="1"/>
    <n v="0"/>
    <n v="0"/>
    <n v="0"/>
    <n v="0"/>
    <n v="0"/>
    <n v="2"/>
    <n v="0"/>
    <m/>
    <n v="64.900000000000006"/>
    <n v="1"/>
  </r>
  <r>
    <s v="USR-100160"/>
    <d v="2025-05-18T00:00:00"/>
    <x v="0"/>
    <x v="0"/>
    <x v="0"/>
    <s v="Paid Search"/>
    <x v="0"/>
    <n v="0"/>
    <n v="0"/>
    <n v="0"/>
    <n v="0"/>
    <n v="0"/>
    <n v="0"/>
    <n v="0"/>
    <m/>
    <n v="72.3"/>
    <n v="1"/>
  </r>
  <r>
    <s v="USR-100161"/>
    <d v="2025-05-14T00:00:00"/>
    <x v="0"/>
    <x v="0"/>
    <x v="1"/>
    <s v="Social"/>
    <x v="0"/>
    <n v="0"/>
    <n v="0"/>
    <n v="0"/>
    <n v="0"/>
    <n v="0"/>
    <n v="0"/>
    <n v="0"/>
    <m/>
    <n v="42.1"/>
    <n v="1"/>
  </r>
  <r>
    <s v="USR-100162"/>
    <d v="2025-02-01T00:00:00"/>
    <x v="0"/>
    <x v="0"/>
    <x v="1"/>
    <s v="Organic"/>
    <x v="1"/>
    <n v="0"/>
    <n v="0"/>
    <n v="0"/>
    <n v="0"/>
    <n v="0"/>
    <n v="0"/>
    <n v="0"/>
    <m/>
    <m/>
    <n v="1"/>
  </r>
  <r>
    <s v="USR-100163"/>
    <d v="2025-04-11T00:00:00"/>
    <x v="0"/>
    <x v="3"/>
    <x v="1"/>
    <s v="Organic"/>
    <x v="0"/>
    <n v="0"/>
    <n v="0"/>
    <n v="0"/>
    <n v="0"/>
    <n v="0"/>
    <n v="1"/>
    <n v="0"/>
    <m/>
    <n v="64.8"/>
    <n v="1"/>
  </r>
  <r>
    <s v="USR-100164"/>
    <d v="2025-02-14T00:00:00"/>
    <x v="0"/>
    <x v="2"/>
    <x v="1"/>
    <s v="Organic"/>
    <x v="1"/>
    <n v="0"/>
    <n v="0"/>
    <n v="0"/>
    <n v="0"/>
    <n v="0"/>
    <n v="0"/>
    <n v="0"/>
    <m/>
    <n v="72.099999999999994"/>
    <n v="1"/>
  </r>
  <r>
    <s v="USR-100165"/>
    <d v="2025-05-19T00:00:00"/>
    <x v="0"/>
    <x v="2"/>
    <x v="1"/>
    <s v="Social"/>
    <x v="1"/>
    <n v="1"/>
    <n v="0"/>
    <n v="0"/>
    <n v="0"/>
    <n v="0"/>
    <n v="0"/>
    <n v="0"/>
    <m/>
    <n v="50.6"/>
    <n v="1"/>
  </r>
  <r>
    <s v="USR-100166"/>
    <d v="2025-04-26T00:00:00"/>
    <x v="0"/>
    <x v="0"/>
    <x v="0"/>
    <s v="Paid Search"/>
    <x v="0"/>
    <n v="1"/>
    <n v="1"/>
    <n v="1"/>
    <n v="1"/>
    <n v="1281.25"/>
    <n v="1"/>
    <n v="0"/>
    <n v="9"/>
    <n v="43.4"/>
    <n v="1"/>
  </r>
  <r>
    <s v="USR-100167"/>
    <d v="2025-04-06T00:00:00"/>
    <x v="0"/>
    <x v="3"/>
    <x v="1"/>
    <s v="Social"/>
    <x v="1"/>
    <n v="1"/>
    <n v="0"/>
    <n v="0"/>
    <n v="0"/>
    <n v="0"/>
    <n v="0"/>
    <n v="0"/>
    <m/>
    <n v="59.7"/>
    <n v="1"/>
  </r>
  <r>
    <s v="USR-100168"/>
    <d v="2025-03-06T00:00:00"/>
    <x v="0"/>
    <x v="3"/>
    <x v="1"/>
    <s v="Paid Search"/>
    <x v="1"/>
    <n v="1"/>
    <n v="0"/>
    <n v="0"/>
    <n v="0"/>
    <n v="0"/>
    <n v="1"/>
    <n v="0"/>
    <m/>
    <m/>
    <n v="1"/>
  </r>
  <r>
    <s v="USR-100169"/>
    <d v="2025-03-10T00:00:00"/>
    <x v="0"/>
    <x v="1"/>
    <x v="1"/>
    <s v="Social"/>
    <x v="0"/>
    <n v="0"/>
    <n v="0"/>
    <n v="0"/>
    <n v="0"/>
    <n v="0"/>
    <n v="0"/>
    <n v="0"/>
    <m/>
    <n v="54.5"/>
    <n v="1"/>
  </r>
  <r>
    <s v="USR-100170"/>
    <d v="2025-03-30T00:00:00"/>
    <x v="0"/>
    <x v="0"/>
    <x v="1"/>
    <s v="Organic"/>
    <x v="1"/>
    <n v="1"/>
    <n v="0"/>
    <n v="0"/>
    <n v="0"/>
    <n v="0"/>
    <n v="0"/>
    <n v="0"/>
    <m/>
    <n v="71.099999999999994"/>
    <n v="1"/>
  </r>
  <r>
    <s v="USR-100171"/>
    <d v="2025-05-29T00:00:00"/>
    <x v="0"/>
    <x v="2"/>
    <x v="3"/>
    <s v="Paid Search"/>
    <x v="1"/>
    <n v="1"/>
    <n v="1"/>
    <n v="1"/>
    <n v="0"/>
    <n v="0"/>
    <n v="0"/>
    <n v="0"/>
    <m/>
    <n v="44.4"/>
    <n v="1"/>
  </r>
  <r>
    <s v="USR-100172"/>
    <d v="2025-03-23T00:00:00"/>
    <x v="0"/>
    <x v="0"/>
    <x v="1"/>
    <s v="Organic"/>
    <x v="1"/>
    <n v="1"/>
    <n v="0"/>
    <n v="0"/>
    <n v="0"/>
    <n v="0"/>
    <n v="0"/>
    <n v="0"/>
    <m/>
    <n v="61.7"/>
    <n v="1"/>
  </r>
  <r>
    <s v="USR-100173"/>
    <d v="2025-02-18T00:00:00"/>
    <x v="0"/>
    <x v="0"/>
    <x v="2"/>
    <s v="Organic"/>
    <x v="0"/>
    <n v="0"/>
    <n v="0"/>
    <n v="0"/>
    <n v="0"/>
    <n v="0"/>
    <n v="1"/>
    <n v="0"/>
    <m/>
    <n v="81.3"/>
    <n v="1"/>
  </r>
  <r>
    <s v="USR-100174"/>
    <d v="2025-01-26T00:00:00"/>
    <x v="0"/>
    <x v="0"/>
    <x v="0"/>
    <s v="Email"/>
    <x v="1"/>
    <n v="1"/>
    <n v="0"/>
    <n v="0"/>
    <n v="0"/>
    <n v="0"/>
    <n v="2"/>
    <n v="0"/>
    <m/>
    <n v="28.7"/>
    <n v="1"/>
  </r>
  <r>
    <s v="USR-100175"/>
    <d v="2025-04-23T00:00:00"/>
    <x v="0"/>
    <x v="2"/>
    <x v="1"/>
    <s v="Social"/>
    <x v="0"/>
    <n v="0"/>
    <n v="0"/>
    <n v="0"/>
    <n v="0"/>
    <n v="0"/>
    <n v="0"/>
    <n v="0"/>
    <m/>
    <n v="53"/>
    <n v="1"/>
  </r>
  <r>
    <s v="USR-100176"/>
    <d v="2025-03-16T00:00:00"/>
    <x v="0"/>
    <x v="3"/>
    <x v="2"/>
    <s v="Referral"/>
    <x v="0"/>
    <n v="1"/>
    <n v="0"/>
    <n v="0"/>
    <n v="0"/>
    <n v="0"/>
    <n v="0"/>
    <n v="0"/>
    <m/>
    <n v="54.9"/>
    <n v="1"/>
  </r>
  <r>
    <s v="USR-100177"/>
    <d v="2025-04-29T00:00:00"/>
    <x v="0"/>
    <x v="1"/>
    <x v="1"/>
    <s v="Organic"/>
    <x v="0"/>
    <n v="1"/>
    <n v="0"/>
    <n v="0"/>
    <n v="0"/>
    <n v="0"/>
    <n v="0"/>
    <n v="0"/>
    <m/>
    <n v="58.2"/>
    <n v="1"/>
  </r>
  <r>
    <s v="USR-100178"/>
    <d v="2025-04-06T00:00:00"/>
    <x v="0"/>
    <x v="0"/>
    <x v="1"/>
    <s v="Organic"/>
    <x v="1"/>
    <n v="0"/>
    <n v="0"/>
    <n v="0"/>
    <n v="0"/>
    <n v="0"/>
    <n v="0"/>
    <n v="0"/>
    <m/>
    <n v="80.599999999999994"/>
    <n v="1"/>
  </r>
  <r>
    <s v="USR-100179"/>
    <d v="2025-04-17T00:00:00"/>
    <x v="0"/>
    <x v="0"/>
    <x v="0"/>
    <s v="Referral"/>
    <x v="2"/>
    <n v="1"/>
    <n v="1"/>
    <n v="1"/>
    <n v="0"/>
    <n v="0"/>
    <n v="0"/>
    <n v="0"/>
    <m/>
    <n v="38.4"/>
    <n v="1"/>
  </r>
  <r>
    <s v="USR-100180"/>
    <d v="2025-04-03T00:00:00"/>
    <x v="0"/>
    <x v="3"/>
    <x v="1"/>
    <s v="Paid Search"/>
    <x v="1"/>
    <n v="1"/>
    <n v="0"/>
    <n v="0"/>
    <n v="0"/>
    <n v="0"/>
    <n v="0"/>
    <n v="0"/>
    <m/>
    <n v="56.1"/>
    <n v="1"/>
  </r>
  <r>
    <s v="USR-100181"/>
    <d v="2025-04-25T00:00:00"/>
    <x v="0"/>
    <x v="1"/>
    <x v="1"/>
    <s v="Paid Search"/>
    <x v="1"/>
    <n v="0"/>
    <n v="0"/>
    <n v="0"/>
    <n v="0"/>
    <n v="0"/>
    <n v="0"/>
    <n v="0"/>
    <m/>
    <n v="62.6"/>
    <n v="1"/>
  </r>
  <r>
    <s v="USR-100182"/>
    <d v="2025-04-30T00:00:00"/>
    <x v="0"/>
    <x v="3"/>
    <x v="1"/>
    <s v="Organic"/>
    <x v="2"/>
    <n v="0"/>
    <n v="0"/>
    <n v="0"/>
    <n v="0"/>
    <n v="0"/>
    <n v="0"/>
    <n v="0"/>
    <m/>
    <n v="36.299999999999997"/>
    <n v="1"/>
  </r>
  <r>
    <s v="USR-100183"/>
    <d v="2025-03-12T00:00:00"/>
    <x v="0"/>
    <x v="3"/>
    <x v="1"/>
    <s v="Paid Search"/>
    <x v="1"/>
    <n v="1"/>
    <n v="0"/>
    <n v="0"/>
    <n v="0"/>
    <n v="0"/>
    <n v="0"/>
    <n v="0"/>
    <m/>
    <n v="52.1"/>
    <n v="1"/>
  </r>
  <r>
    <s v="USR-100184"/>
    <d v="2025-05-04T00:00:00"/>
    <x v="0"/>
    <x v="3"/>
    <x v="1"/>
    <s v="Organic"/>
    <x v="1"/>
    <n v="1"/>
    <n v="0"/>
    <n v="0"/>
    <n v="0"/>
    <n v="0"/>
    <n v="0"/>
    <n v="0"/>
    <m/>
    <n v="45.1"/>
    <n v="1"/>
  </r>
  <r>
    <s v="USR-100185"/>
    <d v="2025-02-07T00:00:00"/>
    <x v="0"/>
    <x v="3"/>
    <x v="2"/>
    <s v="Paid Search"/>
    <x v="2"/>
    <n v="0"/>
    <n v="0"/>
    <n v="0"/>
    <n v="0"/>
    <n v="0"/>
    <n v="0"/>
    <n v="0"/>
    <m/>
    <n v="67.5"/>
    <n v="1"/>
  </r>
  <r>
    <s v="USR-100186"/>
    <d v="2025-04-28T00:00:00"/>
    <x v="0"/>
    <x v="2"/>
    <x v="2"/>
    <s v="Email"/>
    <x v="0"/>
    <n v="1"/>
    <n v="1"/>
    <n v="1"/>
    <n v="0"/>
    <n v="0"/>
    <n v="0"/>
    <n v="0"/>
    <m/>
    <n v="80"/>
    <n v="1"/>
  </r>
  <r>
    <s v="USR-100187"/>
    <d v="2025-05-15T00:00:00"/>
    <x v="0"/>
    <x v="2"/>
    <x v="0"/>
    <s v="Referral"/>
    <x v="1"/>
    <n v="0"/>
    <n v="0"/>
    <n v="0"/>
    <n v="0"/>
    <n v="0"/>
    <n v="0"/>
    <n v="0"/>
    <m/>
    <n v="56.4"/>
    <n v="1"/>
  </r>
  <r>
    <s v="USR-100188"/>
    <d v="2025-01-18T00:00:00"/>
    <x v="0"/>
    <x v="1"/>
    <x v="1"/>
    <s v="Paid Search"/>
    <x v="0"/>
    <n v="0"/>
    <n v="0"/>
    <n v="0"/>
    <n v="0"/>
    <n v="0"/>
    <n v="0"/>
    <n v="0"/>
    <m/>
    <n v="55.4"/>
    <n v="1"/>
  </r>
  <r>
    <s v="USR-100189"/>
    <d v="2025-02-15T00:00:00"/>
    <x v="0"/>
    <x v="3"/>
    <x v="1"/>
    <s v="Social"/>
    <x v="0"/>
    <n v="1"/>
    <n v="0"/>
    <n v="0"/>
    <n v="0"/>
    <n v="0"/>
    <n v="0"/>
    <n v="0"/>
    <m/>
    <n v="67.900000000000006"/>
    <n v="1"/>
  </r>
  <r>
    <s v="USR-100190"/>
    <d v="2025-02-18T00:00:00"/>
    <x v="0"/>
    <x v="0"/>
    <x v="2"/>
    <s v="Email"/>
    <x v="1"/>
    <n v="1"/>
    <n v="0"/>
    <n v="0"/>
    <n v="0"/>
    <n v="0"/>
    <n v="0"/>
    <n v="0"/>
    <m/>
    <n v="62.5"/>
    <n v="1"/>
  </r>
  <r>
    <s v="USR-100191"/>
    <d v="2025-01-30T00:00:00"/>
    <x v="0"/>
    <x v="3"/>
    <x v="0"/>
    <s v="Email"/>
    <x v="0"/>
    <n v="1"/>
    <n v="1"/>
    <n v="1"/>
    <n v="0"/>
    <n v="0"/>
    <n v="0"/>
    <n v="0"/>
    <m/>
    <n v="54.3"/>
    <n v="1"/>
  </r>
  <r>
    <s v="USR-100192"/>
    <d v="2025-02-09T00:00:00"/>
    <x v="0"/>
    <x v="3"/>
    <x v="0"/>
    <s v="Organic"/>
    <x v="0"/>
    <n v="1"/>
    <n v="0"/>
    <n v="0"/>
    <n v="0"/>
    <n v="0"/>
    <n v="0"/>
    <n v="0"/>
    <m/>
    <n v="37.5"/>
    <n v="1"/>
  </r>
  <r>
    <s v="USR-100193"/>
    <d v="2025-03-16T00:00:00"/>
    <x v="0"/>
    <x v="1"/>
    <x v="1"/>
    <s v="Paid Search"/>
    <x v="0"/>
    <n v="1"/>
    <n v="0"/>
    <n v="0"/>
    <n v="0"/>
    <n v="0"/>
    <n v="0"/>
    <n v="0"/>
    <m/>
    <n v="52.6"/>
    <n v="1"/>
  </r>
  <r>
    <s v="USR-100194"/>
    <d v="2025-05-19T00:00:00"/>
    <x v="0"/>
    <x v="0"/>
    <x v="1"/>
    <s v="Paid Search"/>
    <x v="1"/>
    <n v="1"/>
    <n v="0"/>
    <n v="0"/>
    <n v="0"/>
    <n v="0"/>
    <n v="0"/>
    <n v="0"/>
    <m/>
    <n v="46.1"/>
    <n v="1"/>
  </r>
  <r>
    <s v="USR-100195"/>
    <d v="2025-05-16T00:00:00"/>
    <x v="0"/>
    <x v="3"/>
    <x v="0"/>
    <s v="Organic"/>
    <x v="0"/>
    <n v="1"/>
    <n v="0"/>
    <n v="0"/>
    <n v="0"/>
    <n v="0"/>
    <n v="0"/>
    <n v="0"/>
    <m/>
    <n v="54.7"/>
    <n v="1"/>
  </r>
  <r>
    <s v="USR-100196"/>
    <d v="2025-04-25T00:00:00"/>
    <x v="0"/>
    <x v="1"/>
    <x v="0"/>
    <s v="Referral"/>
    <x v="0"/>
    <n v="0"/>
    <n v="0"/>
    <n v="0"/>
    <n v="0"/>
    <n v="0"/>
    <n v="0"/>
    <n v="0"/>
    <m/>
    <n v="74.2"/>
    <n v="1"/>
  </r>
  <r>
    <s v="USR-100197"/>
    <d v="2025-02-27T00:00:00"/>
    <x v="0"/>
    <x v="0"/>
    <x v="1"/>
    <s v="Social"/>
    <x v="0"/>
    <n v="1"/>
    <n v="1"/>
    <n v="1"/>
    <n v="1"/>
    <n v="1052.8"/>
    <n v="2"/>
    <n v="0"/>
    <n v="6"/>
    <n v="64.7"/>
    <n v="1"/>
  </r>
  <r>
    <s v="USR-100198"/>
    <d v="2025-04-26T00:00:00"/>
    <x v="0"/>
    <x v="3"/>
    <x v="1"/>
    <s v="Paid Search"/>
    <x v="0"/>
    <n v="0"/>
    <n v="0"/>
    <n v="0"/>
    <n v="0"/>
    <n v="0"/>
    <n v="0"/>
    <n v="0"/>
    <m/>
    <n v="65.900000000000006"/>
    <n v="1"/>
  </r>
  <r>
    <s v="USR-100199"/>
    <d v="2025-05-14T00:00:00"/>
    <x v="0"/>
    <x v="0"/>
    <x v="1"/>
    <s v="Organic"/>
    <x v="0"/>
    <n v="1"/>
    <n v="0"/>
    <n v="0"/>
    <n v="0"/>
    <n v="0"/>
    <n v="0"/>
    <n v="0"/>
    <m/>
    <n v="64"/>
    <n v="1"/>
  </r>
  <r>
    <s v="USR-100200"/>
    <d v="2025-03-05T00:00:00"/>
    <x v="0"/>
    <x v="0"/>
    <x v="1"/>
    <s v="Organic"/>
    <x v="2"/>
    <n v="1"/>
    <n v="0"/>
    <n v="0"/>
    <n v="0"/>
    <n v="0"/>
    <n v="0"/>
    <n v="0"/>
    <m/>
    <n v="57.2"/>
    <n v="1"/>
  </r>
  <r>
    <s v="USR-100201"/>
    <d v="2025-04-02T00:00:00"/>
    <x v="0"/>
    <x v="1"/>
    <x v="0"/>
    <s v="Organic"/>
    <x v="1"/>
    <n v="1"/>
    <n v="0"/>
    <n v="0"/>
    <n v="0"/>
    <n v="0"/>
    <n v="0"/>
    <n v="0"/>
    <m/>
    <n v="80.5"/>
    <n v="1"/>
  </r>
  <r>
    <s v="USR-100202"/>
    <d v="2025-05-14T00:00:00"/>
    <x v="0"/>
    <x v="3"/>
    <x v="2"/>
    <s v="Organic"/>
    <x v="1"/>
    <n v="0"/>
    <n v="0"/>
    <n v="0"/>
    <n v="0"/>
    <n v="0"/>
    <n v="0"/>
    <n v="0"/>
    <m/>
    <n v="53.9"/>
    <n v="1"/>
  </r>
  <r>
    <s v="USR-100203"/>
    <d v="2025-05-21T00:00:00"/>
    <x v="0"/>
    <x v="0"/>
    <x v="1"/>
    <s v="Paid Search"/>
    <x v="1"/>
    <n v="1"/>
    <n v="1"/>
    <n v="0"/>
    <n v="0"/>
    <n v="0"/>
    <n v="0"/>
    <n v="0"/>
    <m/>
    <n v="77.5"/>
    <n v="1"/>
  </r>
  <r>
    <s v="USR-100204"/>
    <d v="2025-01-27T00:00:00"/>
    <x v="0"/>
    <x v="2"/>
    <x v="1"/>
    <s v="Social"/>
    <x v="0"/>
    <n v="0"/>
    <n v="0"/>
    <n v="0"/>
    <n v="0"/>
    <n v="0"/>
    <n v="0"/>
    <n v="0"/>
    <m/>
    <n v="84.2"/>
    <n v="1"/>
  </r>
  <r>
    <s v="USR-100205"/>
    <d v="2025-05-22T00:00:00"/>
    <x v="0"/>
    <x v="1"/>
    <x v="0"/>
    <s v="Organic"/>
    <x v="1"/>
    <n v="1"/>
    <n v="1"/>
    <n v="0"/>
    <n v="0"/>
    <n v="0"/>
    <n v="0"/>
    <n v="0"/>
    <m/>
    <n v="54.9"/>
    <n v="1"/>
  </r>
  <r>
    <s v="USR-100206"/>
    <d v="2025-05-19T00:00:00"/>
    <x v="0"/>
    <x v="3"/>
    <x v="1"/>
    <s v="Paid Search"/>
    <x v="1"/>
    <n v="0"/>
    <n v="0"/>
    <n v="0"/>
    <n v="0"/>
    <n v="0"/>
    <n v="0"/>
    <n v="0"/>
    <m/>
    <n v="69.3"/>
    <n v="1"/>
  </r>
  <r>
    <s v="USR-100207"/>
    <d v="2025-01-14T00:00:00"/>
    <x v="0"/>
    <x v="3"/>
    <x v="0"/>
    <s v="Paid Search"/>
    <x v="1"/>
    <n v="1"/>
    <n v="0"/>
    <n v="0"/>
    <n v="0"/>
    <n v="0"/>
    <n v="2"/>
    <n v="0"/>
    <m/>
    <n v="42.3"/>
    <n v="1"/>
  </r>
  <r>
    <s v="USR-100208"/>
    <d v="2025-01-21T00:00:00"/>
    <x v="0"/>
    <x v="0"/>
    <x v="0"/>
    <s v="Referral"/>
    <x v="2"/>
    <n v="1"/>
    <n v="0"/>
    <n v="0"/>
    <n v="0"/>
    <n v="0"/>
    <n v="1"/>
    <n v="0"/>
    <m/>
    <n v="69.599999999999994"/>
    <n v="1"/>
  </r>
  <r>
    <s v="USR-100209"/>
    <d v="2025-05-16T00:00:00"/>
    <x v="0"/>
    <x v="2"/>
    <x v="1"/>
    <s v="Organic"/>
    <x v="1"/>
    <n v="0"/>
    <n v="0"/>
    <n v="0"/>
    <n v="0"/>
    <n v="0"/>
    <n v="0"/>
    <n v="0"/>
    <m/>
    <n v="40.700000000000003"/>
    <n v="1"/>
  </r>
  <r>
    <s v="USR-100210"/>
    <d v="2025-02-02T00:00:00"/>
    <x v="0"/>
    <x v="0"/>
    <x v="1"/>
    <s v="Email"/>
    <x v="1"/>
    <n v="1"/>
    <n v="0"/>
    <n v="0"/>
    <n v="0"/>
    <n v="0"/>
    <n v="0"/>
    <n v="0"/>
    <m/>
    <n v="54"/>
    <n v="1"/>
  </r>
  <r>
    <s v="USR-100211"/>
    <d v="2025-03-23T00:00:00"/>
    <x v="0"/>
    <x v="2"/>
    <x v="3"/>
    <s v="Referral"/>
    <x v="1"/>
    <n v="1"/>
    <n v="1"/>
    <n v="1"/>
    <n v="1"/>
    <n v="553.37"/>
    <n v="0"/>
    <n v="0"/>
    <n v="5"/>
    <n v="46.3"/>
    <n v="1"/>
  </r>
  <r>
    <s v="USR-100212"/>
    <d v="2025-01-24T00:00:00"/>
    <x v="0"/>
    <x v="2"/>
    <x v="1"/>
    <s v="Organic"/>
    <x v="1"/>
    <n v="1"/>
    <n v="0"/>
    <n v="0"/>
    <n v="0"/>
    <n v="0"/>
    <n v="0"/>
    <n v="0"/>
    <m/>
    <n v="64.2"/>
    <n v="1"/>
  </r>
  <r>
    <s v="USR-100213"/>
    <d v="2025-04-12T00:00:00"/>
    <x v="0"/>
    <x v="0"/>
    <x v="0"/>
    <s v="Organic"/>
    <x v="1"/>
    <n v="1"/>
    <n v="0"/>
    <n v="0"/>
    <n v="0"/>
    <n v="0"/>
    <n v="0"/>
    <n v="0"/>
    <m/>
    <n v="75.2"/>
    <n v="1"/>
  </r>
  <r>
    <s v="USR-100214"/>
    <d v="2025-02-18T00:00:00"/>
    <x v="0"/>
    <x v="2"/>
    <x v="0"/>
    <s v="Paid Search"/>
    <x v="1"/>
    <n v="1"/>
    <n v="1"/>
    <n v="0"/>
    <n v="0"/>
    <n v="0"/>
    <n v="0"/>
    <n v="0"/>
    <m/>
    <n v="60.9"/>
    <n v="1"/>
  </r>
  <r>
    <s v="USR-100215"/>
    <d v="2025-05-28T00:00:00"/>
    <x v="0"/>
    <x v="3"/>
    <x v="1"/>
    <s v="Email"/>
    <x v="0"/>
    <n v="1"/>
    <n v="1"/>
    <n v="1"/>
    <n v="0"/>
    <n v="0"/>
    <n v="0"/>
    <n v="0"/>
    <m/>
    <n v="62.1"/>
    <n v="1"/>
  </r>
  <r>
    <s v="USR-100216"/>
    <d v="2025-04-18T00:00:00"/>
    <x v="0"/>
    <x v="3"/>
    <x v="1"/>
    <s v="Social"/>
    <x v="0"/>
    <n v="0"/>
    <n v="0"/>
    <n v="0"/>
    <n v="0"/>
    <n v="0"/>
    <n v="0"/>
    <n v="0"/>
    <m/>
    <n v="45.4"/>
    <n v="1"/>
  </r>
  <r>
    <s v="USR-100217"/>
    <d v="2025-03-27T00:00:00"/>
    <x v="0"/>
    <x v="0"/>
    <x v="1"/>
    <s v="Paid Search"/>
    <x v="0"/>
    <n v="1"/>
    <n v="0"/>
    <n v="0"/>
    <n v="0"/>
    <n v="0"/>
    <n v="0"/>
    <n v="0"/>
    <m/>
    <n v="53.3"/>
    <n v="1"/>
  </r>
  <r>
    <s v="USR-100218"/>
    <d v="2025-02-25T00:00:00"/>
    <x v="0"/>
    <x v="0"/>
    <x v="2"/>
    <s v="Social"/>
    <x v="1"/>
    <n v="1"/>
    <n v="0"/>
    <n v="0"/>
    <n v="0"/>
    <n v="0"/>
    <n v="0"/>
    <n v="0"/>
    <m/>
    <m/>
    <n v="1"/>
  </r>
  <r>
    <s v="USR-100219"/>
    <d v="2025-02-19T00:00:00"/>
    <x v="0"/>
    <x v="2"/>
    <x v="1"/>
    <s v="Paid Search"/>
    <x v="1"/>
    <n v="0"/>
    <n v="0"/>
    <n v="0"/>
    <n v="0"/>
    <n v="0"/>
    <n v="1"/>
    <n v="0"/>
    <m/>
    <n v="38.200000000000003"/>
    <n v="1"/>
  </r>
  <r>
    <s v="USR-100220"/>
    <d v="2025-04-11T00:00:00"/>
    <x v="0"/>
    <x v="1"/>
    <x v="1"/>
    <s v="Paid Search"/>
    <x v="1"/>
    <n v="1"/>
    <n v="1"/>
    <n v="0"/>
    <n v="0"/>
    <n v="0"/>
    <n v="3"/>
    <n v="0"/>
    <m/>
    <n v="59"/>
    <n v="1"/>
  </r>
  <r>
    <s v="USR-100221"/>
    <d v="2025-01-22T00:00:00"/>
    <x v="0"/>
    <x v="2"/>
    <x v="2"/>
    <s v="Referral"/>
    <x v="2"/>
    <n v="1"/>
    <n v="1"/>
    <n v="1"/>
    <n v="0"/>
    <n v="0"/>
    <n v="0"/>
    <n v="0"/>
    <m/>
    <n v="80.599999999999994"/>
    <n v="1"/>
  </r>
  <r>
    <s v="USR-100222"/>
    <d v="2025-01-12T00:00:00"/>
    <x v="0"/>
    <x v="3"/>
    <x v="1"/>
    <s v="Social"/>
    <x v="1"/>
    <n v="1"/>
    <n v="0"/>
    <n v="0"/>
    <n v="0"/>
    <n v="0"/>
    <n v="0"/>
    <n v="0"/>
    <m/>
    <n v="67"/>
    <n v="1"/>
  </r>
  <r>
    <s v="USR-100223"/>
    <d v="2025-02-17T00:00:00"/>
    <x v="0"/>
    <x v="1"/>
    <x v="1"/>
    <s v="Email"/>
    <x v="1"/>
    <n v="1"/>
    <n v="0"/>
    <n v="0"/>
    <n v="0"/>
    <n v="0"/>
    <n v="1"/>
    <n v="0"/>
    <m/>
    <n v="72.099999999999994"/>
    <n v="1"/>
  </r>
  <r>
    <s v="USR-100224"/>
    <d v="2025-04-11T00:00:00"/>
    <x v="0"/>
    <x v="1"/>
    <x v="0"/>
    <s v="Organic"/>
    <x v="1"/>
    <n v="0"/>
    <n v="0"/>
    <n v="0"/>
    <n v="0"/>
    <n v="0"/>
    <n v="0"/>
    <n v="0"/>
    <m/>
    <n v="74.099999999999994"/>
    <n v="1"/>
  </r>
  <r>
    <s v="USR-100225"/>
    <d v="2025-05-25T00:00:00"/>
    <x v="0"/>
    <x v="3"/>
    <x v="1"/>
    <s v="Referral"/>
    <x v="2"/>
    <n v="0"/>
    <n v="0"/>
    <n v="0"/>
    <n v="0"/>
    <n v="0"/>
    <n v="0"/>
    <n v="0"/>
    <m/>
    <n v="84.8"/>
    <n v="1"/>
  </r>
  <r>
    <s v="USR-100226"/>
    <d v="2025-03-12T00:00:00"/>
    <x v="0"/>
    <x v="3"/>
    <x v="1"/>
    <s v="Organic"/>
    <x v="0"/>
    <n v="1"/>
    <n v="0"/>
    <n v="0"/>
    <n v="0"/>
    <n v="0"/>
    <n v="0"/>
    <n v="0"/>
    <m/>
    <n v="33"/>
    <n v="1"/>
  </r>
  <r>
    <s v="USR-100227"/>
    <d v="2025-04-20T00:00:00"/>
    <x v="0"/>
    <x v="0"/>
    <x v="2"/>
    <s v="Email"/>
    <x v="1"/>
    <n v="0"/>
    <n v="0"/>
    <n v="0"/>
    <n v="0"/>
    <n v="0"/>
    <n v="0"/>
    <n v="0"/>
    <m/>
    <n v="52.5"/>
    <n v="1"/>
  </r>
  <r>
    <s v="USR-100228"/>
    <d v="2025-02-23T00:00:00"/>
    <x v="0"/>
    <x v="0"/>
    <x v="2"/>
    <s v="Organic"/>
    <x v="1"/>
    <n v="0"/>
    <n v="0"/>
    <n v="0"/>
    <n v="0"/>
    <n v="0"/>
    <n v="0"/>
    <n v="0"/>
    <m/>
    <n v="66.900000000000006"/>
    <n v="1"/>
  </r>
  <r>
    <s v="USR-100229"/>
    <d v="2025-01-24T00:00:00"/>
    <x v="0"/>
    <x v="0"/>
    <x v="1"/>
    <s v="Organic"/>
    <x v="0"/>
    <n v="1"/>
    <n v="1"/>
    <n v="1"/>
    <n v="0"/>
    <n v="0"/>
    <n v="1"/>
    <n v="0"/>
    <m/>
    <n v="32.700000000000003"/>
    <n v="1"/>
  </r>
  <r>
    <s v="USR-100230"/>
    <d v="2025-01-16T00:00:00"/>
    <x v="0"/>
    <x v="1"/>
    <x v="1"/>
    <s v="Organic"/>
    <x v="2"/>
    <n v="1"/>
    <n v="1"/>
    <n v="1"/>
    <n v="0"/>
    <n v="0"/>
    <n v="1"/>
    <n v="0"/>
    <m/>
    <n v="70.599999999999994"/>
    <n v="1"/>
  </r>
  <r>
    <s v="USR-100231"/>
    <d v="2025-02-17T00:00:00"/>
    <x v="0"/>
    <x v="0"/>
    <x v="1"/>
    <s v="Social"/>
    <x v="1"/>
    <n v="0"/>
    <n v="0"/>
    <n v="0"/>
    <n v="0"/>
    <n v="0"/>
    <n v="0"/>
    <n v="0"/>
    <m/>
    <n v="69.400000000000006"/>
    <n v="1"/>
  </r>
  <r>
    <s v="USR-100232"/>
    <d v="2025-05-04T00:00:00"/>
    <x v="0"/>
    <x v="0"/>
    <x v="0"/>
    <s v="Organic"/>
    <x v="0"/>
    <n v="1"/>
    <n v="0"/>
    <n v="0"/>
    <n v="0"/>
    <n v="0"/>
    <n v="0"/>
    <n v="0"/>
    <m/>
    <n v="56.1"/>
    <n v="1"/>
  </r>
  <r>
    <s v="USR-100233"/>
    <d v="2025-01-12T00:00:00"/>
    <x v="0"/>
    <x v="1"/>
    <x v="1"/>
    <s v="Organic"/>
    <x v="0"/>
    <n v="0"/>
    <n v="0"/>
    <n v="0"/>
    <n v="0"/>
    <n v="0"/>
    <n v="0"/>
    <n v="0"/>
    <m/>
    <n v="55.8"/>
    <n v="1"/>
  </r>
  <r>
    <s v="USR-100234"/>
    <d v="2025-04-28T00:00:00"/>
    <x v="0"/>
    <x v="0"/>
    <x v="2"/>
    <s v="Organic"/>
    <x v="1"/>
    <n v="0"/>
    <n v="0"/>
    <n v="0"/>
    <n v="0"/>
    <n v="0"/>
    <n v="0"/>
    <n v="0"/>
    <m/>
    <n v="49.3"/>
    <n v="1"/>
  </r>
  <r>
    <s v="USR-100235"/>
    <d v="2025-02-26T00:00:00"/>
    <x v="0"/>
    <x v="0"/>
    <x v="1"/>
    <s v="Organic"/>
    <x v="1"/>
    <n v="0"/>
    <n v="0"/>
    <n v="0"/>
    <n v="0"/>
    <n v="0"/>
    <n v="0"/>
    <n v="0"/>
    <m/>
    <n v="71.8"/>
    <n v="1"/>
  </r>
  <r>
    <s v="USR-100236"/>
    <d v="2025-03-18T00:00:00"/>
    <x v="0"/>
    <x v="1"/>
    <x v="1"/>
    <s v="Social"/>
    <x v="1"/>
    <n v="1"/>
    <n v="0"/>
    <n v="0"/>
    <n v="0"/>
    <n v="0"/>
    <n v="3"/>
    <n v="0"/>
    <m/>
    <n v="39.700000000000003"/>
    <n v="1"/>
  </r>
  <r>
    <s v="USR-100237"/>
    <d v="2025-03-01T00:00:00"/>
    <x v="0"/>
    <x v="3"/>
    <x v="0"/>
    <s v="Organic"/>
    <x v="2"/>
    <n v="1"/>
    <n v="0"/>
    <n v="0"/>
    <n v="0"/>
    <n v="0"/>
    <n v="0"/>
    <n v="0"/>
    <m/>
    <n v="45.4"/>
    <n v="1"/>
  </r>
  <r>
    <s v="USR-100238"/>
    <d v="2025-04-05T00:00:00"/>
    <x v="0"/>
    <x v="0"/>
    <x v="0"/>
    <s v="Social"/>
    <x v="2"/>
    <n v="1"/>
    <n v="0"/>
    <n v="0"/>
    <n v="0"/>
    <n v="0"/>
    <n v="0"/>
    <n v="0"/>
    <m/>
    <n v="69.900000000000006"/>
    <n v="1"/>
  </r>
  <r>
    <s v="USR-100239"/>
    <d v="2025-03-12T00:00:00"/>
    <x v="0"/>
    <x v="0"/>
    <x v="0"/>
    <s v="Social"/>
    <x v="1"/>
    <n v="1"/>
    <n v="1"/>
    <n v="1"/>
    <n v="0"/>
    <n v="0"/>
    <n v="0"/>
    <n v="0"/>
    <m/>
    <n v="56.1"/>
    <n v="1"/>
  </r>
  <r>
    <s v="USR-100240"/>
    <d v="2025-03-15T00:00:00"/>
    <x v="0"/>
    <x v="1"/>
    <x v="1"/>
    <s v="Referral"/>
    <x v="0"/>
    <n v="1"/>
    <n v="1"/>
    <n v="0"/>
    <n v="0"/>
    <n v="0"/>
    <n v="0"/>
    <n v="0"/>
    <m/>
    <n v="45.9"/>
    <n v="1"/>
  </r>
  <r>
    <s v="USR-100241"/>
    <d v="2025-02-23T00:00:00"/>
    <x v="0"/>
    <x v="1"/>
    <x v="1"/>
    <s v="Email"/>
    <x v="1"/>
    <n v="0"/>
    <n v="0"/>
    <n v="0"/>
    <n v="0"/>
    <n v="0"/>
    <n v="0"/>
    <n v="0"/>
    <m/>
    <n v="65.8"/>
    <n v="1"/>
  </r>
  <r>
    <s v="USR-100242"/>
    <d v="2025-04-22T00:00:00"/>
    <x v="0"/>
    <x v="0"/>
    <x v="1"/>
    <s v="Organic"/>
    <x v="0"/>
    <n v="1"/>
    <n v="0"/>
    <n v="0"/>
    <n v="0"/>
    <n v="0"/>
    <n v="0"/>
    <n v="0"/>
    <m/>
    <n v="48.2"/>
    <n v="1"/>
  </r>
  <r>
    <s v="USR-100243"/>
    <d v="2025-01-09T00:00:00"/>
    <x v="0"/>
    <x v="2"/>
    <x v="1"/>
    <s v="Organic"/>
    <x v="0"/>
    <n v="1"/>
    <n v="1"/>
    <n v="1"/>
    <n v="0"/>
    <n v="0"/>
    <n v="0"/>
    <n v="0"/>
    <m/>
    <n v="81.099999999999994"/>
    <n v="1"/>
  </r>
  <r>
    <s v="USR-100244"/>
    <d v="2025-03-05T00:00:00"/>
    <x v="0"/>
    <x v="2"/>
    <x v="2"/>
    <s v="Social"/>
    <x v="2"/>
    <n v="1"/>
    <n v="1"/>
    <n v="0"/>
    <n v="0"/>
    <n v="0"/>
    <n v="0"/>
    <n v="0"/>
    <m/>
    <n v="53.2"/>
    <n v="1"/>
  </r>
  <r>
    <s v="USR-100245"/>
    <d v="2025-01-28T00:00:00"/>
    <x v="0"/>
    <x v="0"/>
    <x v="1"/>
    <s v="Social"/>
    <x v="1"/>
    <n v="1"/>
    <n v="1"/>
    <n v="1"/>
    <n v="0"/>
    <n v="0"/>
    <n v="0"/>
    <n v="0"/>
    <m/>
    <n v="57.7"/>
    <n v="1"/>
  </r>
  <r>
    <s v="USR-100246"/>
    <d v="2025-01-21T00:00:00"/>
    <x v="0"/>
    <x v="1"/>
    <x v="1"/>
    <s v="Paid Search"/>
    <x v="2"/>
    <n v="1"/>
    <n v="1"/>
    <n v="0"/>
    <n v="0"/>
    <n v="0"/>
    <n v="0"/>
    <n v="0"/>
    <m/>
    <n v="78.900000000000006"/>
    <n v="1"/>
  </r>
  <r>
    <s v="USR-100247"/>
    <d v="2025-03-14T00:00:00"/>
    <x v="0"/>
    <x v="3"/>
    <x v="1"/>
    <s v="Referral"/>
    <x v="0"/>
    <n v="0"/>
    <n v="0"/>
    <n v="0"/>
    <n v="0"/>
    <n v="0"/>
    <n v="0"/>
    <n v="0"/>
    <m/>
    <n v="55.7"/>
    <n v="1"/>
  </r>
  <r>
    <s v="USR-100248"/>
    <d v="2025-02-03T00:00:00"/>
    <x v="0"/>
    <x v="1"/>
    <x v="1"/>
    <s v="Paid Search"/>
    <x v="1"/>
    <n v="0"/>
    <n v="0"/>
    <n v="0"/>
    <n v="0"/>
    <n v="0"/>
    <n v="0"/>
    <n v="0"/>
    <m/>
    <n v="52.3"/>
    <n v="1"/>
  </r>
  <r>
    <s v="USR-100249"/>
    <d v="2025-05-22T00:00:00"/>
    <x v="0"/>
    <x v="0"/>
    <x v="1"/>
    <s v="Social"/>
    <x v="1"/>
    <n v="1"/>
    <n v="0"/>
    <n v="0"/>
    <n v="0"/>
    <n v="0"/>
    <n v="0"/>
    <n v="0"/>
    <m/>
    <n v="51.5"/>
    <n v="1"/>
  </r>
  <r>
    <s v="USR-100250"/>
    <d v="2025-04-25T00:00:00"/>
    <x v="0"/>
    <x v="0"/>
    <x v="0"/>
    <s v="Email"/>
    <x v="1"/>
    <n v="1"/>
    <n v="0"/>
    <n v="0"/>
    <n v="0"/>
    <n v="0"/>
    <n v="0"/>
    <n v="0"/>
    <m/>
    <n v="70.8"/>
    <n v="1"/>
  </r>
  <r>
    <s v="USR-100251"/>
    <d v="2025-01-30T00:00:00"/>
    <x v="0"/>
    <x v="0"/>
    <x v="0"/>
    <s v="Email"/>
    <x v="0"/>
    <n v="1"/>
    <n v="1"/>
    <n v="1"/>
    <n v="1"/>
    <n v="1250.78"/>
    <n v="0"/>
    <n v="0"/>
    <n v="10"/>
    <n v="39"/>
    <n v="1"/>
  </r>
  <r>
    <s v="USR-100252"/>
    <d v="2025-05-23T00:00:00"/>
    <x v="0"/>
    <x v="1"/>
    <x v="1"/>
    <s v="Organic"/>
    <x v="1"/>
    <n v="1"/>
    <n v="0"/>
    <n v="0"/>
    <n v="0"/>
    <n v="0"/>
    <n v="0"/>
    <n v="0"/>
    <m/>
    <n v="61.6"/>
    <n v="1"/>
  </r>
  <r>
    <s v="USR-100253"/>
    <d v="2025-02-14T00:00:00"/>
    <x v="0"/>
    <x v="2"/>
    <x v="0"/>
    <s v="Organic"/>
    <x v="1"/>
    <n v="1"/>
    <n v="1"/>
    <n v="1"/>
    <n v="0"/>
    <n v="0"/>
    <n v="0"/>
    <n v="0"/>
    <m/>
    <n v="46.8"/>
    <n v="1"/>
  </r>
  <r>
    <s v="USR-100254"/>
    <d v="2025-03-05T00:00:00"/>
    <x v="0"/>
    <x v="0"/>
    <x v="1"/>
    <s v="Paid Search"/>
    <x v="2"/>
    <n v="0"/>
    <n v="0"/>
    <n v="0"/>
    <n v="0"/>
    <n v="0"/>
    <n v="1"/>
    <n v="0"/>
    <m/>
    <n v="58.5"/>
    <n v="1"/>
  </r>
  <r>
    <s v="USR-100255"/>
    <d v="2025-05-27T00:00:00"/>
    <x v="0"/>
    <x v="0"/>
    <x v="1"/>
    <s v="Paid Search"/>
    <x v="0"/>
    <n v="0"/>
    <n v="0"/>
    <n v="0"/>
    <n v="0"/>
    <n v="0"/>
    <n v="0"/>
    <n v="0"/>
    <m/>
    <n v="70.900000000000006"/>
    <n v="1"/>
  </r>
  <r>
    <s v="USR-100256"/>
    <d v="2025-01-07T00:00:00"/>
    <x v="0"/>
    <x v="3"/>
    <x v="1"/>
    <s v="Paid Search"/>
    <x v="1"/>
    <n v="1"/>
    <n v="0"/>
    <n v="0"/>
    <n v="0"/>
    <n v="0"/>
    <n v="0"/>
    <n v="0"/>
    <m/>
    <n v="48.4"/>
    <n v="1"/>
  </r>
  <r>
    <s v="USR-100257"/>
    <d v="2025-04-21T00:00:00"/>
    <x v="0"/>
    <x v="0"/>
    <x v="1"/>
    <s v="Email"/>
    <x v="1"/>
    <n v="1"/>
    <n v="0"/>
    <n v="0"/>
    <n v="0"/>
    <n v="0"/>
    <n v="0"/>
    <n v="0"/>
    <m/>
    <n v="58"/>
    <n v="1"/>
  </r>
  <r>
    <s v="USR-100258"/>
    <d v="2025-05-13T00:00:00"/>
    <x v="0"/>
    <x v="0"/>
    <x v="1"/>
    <s v="Paid Search"/>
    <x v="1"/>
    <n v="0"/>
    <n v="0"/>
    <n v="0"/>
    <n v="0"/>
    <n v="0"/>
    <n v="0"/>
    <n v="0"/>
    <m/>
    <n v="61.6"/>
    <n v="1"/>
  </r>
  <r>
    <s v="USR-100259"/>
    <d v="2025-01-28T00:00:00"/>
    <x v="0"/>
    <x v="2"/>
    <x v="0"/>
    <s v="Organic"/>
    <x v="1"/>
    <n v="1"/>
    <n v="0"/>
    <n v="0"/>
    <n v="0"/>
    <n v="0"/>
    <n v="0"/>
    <n v="0"/>
    <m/>
    <n v="43.2"/>
    <n v="1"/>
  </r>
  <r>
    <s v="USR-100260"/>
    <d v="2025-03-16T00:00:00"/>
    <x v="0"/>
    <x v="2"/>
    <x v="0"/>
    <s v="Paid Search"/>
    <x v="0"/>
    <n v="1"/>
    <n v="0"/>
    <n v="0"/>
    <n v="0"/>
    <n v="0"/>
    <n v="1"/>
    <n v="0"/>
    <m/>
    <n v="53.3"/>
    <n v="1"/>
  </r>
  <r>
    <s v="USR-100261"/>
    <d v="2025-04-10T00:00:00"/>
    <x v="0"/>
    <x v="2"/>
    <x v="0"/>
    <s v="Social"/>
    <x v="0"/>
    <n v="0"/>
    <n v="0"/>
    <n v="0"/>
    <n v="0"/>
    <n v="0"/>
    <n v="0"/>
    <n v="0"/>
    <m/>
    <n v="33.9"/>
    <n v="1"/>
  </r>
  <r>
    <s v="USR-100262"/>
    <d v="2025-03-15T00:00:00"/>
    <x v="0"/>
    <x v="2"/>
    <x v="0"/>
    <s v="Referral"/>
    <x v="1"/>
    <n v="1"/>
    <n v="1"/>
    <n v="1"/>
    <n v="0"/>
    <n v="0"/>
    <n v="0"/>
    <n v="0"/>
    <m/>
    <n v="35.4"/>
    <n v="1"/>
  </r>
  <r>
    <s v="USR-100263"/>
    <d v="2025-04-07T00:00:00"/>
    <x v="0"/>
    <x v="1"/>
    <x v="0"/>
    <s v="Organic"/>
    <x v="0"/>
    <n v="1"/>
    <n v="0"/>
    <n v="0"/>
    <n v="0"/>
    <n v="0"/>
    <n v="0"/>
    <n v="0"/>
    <m/>
    <n v="45"/>
    <n v="1"/>
  </r>
  <r>
    <s v="USR-100264"/>
    <d v="2025-02-12T00:00:00"/>
    <x v="0"/>
    <x v="3"/>
    <x v="1"/>
    <s v="Organic"/>
    <x v="1"/>
    <n v="1"/>
    <n v="1"/>
    <n v="0"/>
    <n v="0"/>
    <n v="0"/>
    <n v="0"/>
    <n v="0"/>
    <m/>
    <n v="86.5"/>
    <n v="1"/>
  </r>
  <r>
    <s v="USR-100265"/>
    <d v="2025-05-05T00:00:00"/>
    <x v="0"/>
    <x v="1"/>
    <x v="1"/>
    <s v="Social"/>
    <x v="1"/>
    <n v="0"/>
    <n v="0"/>
    <n v="0"/>
    <n v="0"/>
    <n v="0"/>
    <n v="0"/>
    <n v="0"/>
    <m/>
    <n v="58.1"/>
    <n v="1"/>
  </r>
  <r>
    <s v="USR-100266"/>
    <d v="2025-03-11T00:00:00"/>
    <x v="0"/>
    <x v="1"/>
    <x v="1"/>
    <s v="Referral"/>
    <x v="1"/>
    <n v="1"/>
    <n v="0"/>
    <n v="0"/>
    <n v="0"/>
    <n v="0"/>
    <n v="0"/>
    <n v="0"/>
    <m/>
    <n v="36.1"/>
    <n v="1"/>
  </r>
  <r>
    <s v="USR-100267"/>
    <d v="2025-02-10T00:00:00"/>
    <x v="0"/>
    <x v="2"/>
    <x v="1"/>
    <s v="Social"/>
    <x v="1"/>
    <n v="0"/>
    <n v="0"/>
    <n v="0"/>
    <n v="0"/>
    <n v="0"/>
    <n v="0"/>
    <n v="0"/>
    <m/>
    <n v="62.8"/>
    <n v="1"/>
  </r>
  <r>
    <s v="USR-100268"/>
    <d v="2025-04-06T00:00:00"/>
    <x v="0"/>
    <x v="3"/>
    <x v="1"/>
    <s v="Organic"/>
    <x v="1"/>
    <n v="0"/>
    <n v="0"/>
    <n v="0"/>
    <n v="0"/>
    <n v="0"/>
    <n v="0"/>
    <n v="0"/>
    <m/>
    <n v="54.2"/>
    <n v="1"/>
  </r>
  <r>
    <s v="USR-100269"/>
    <d v="2025-01-06T00:00:00"/>
    <x v="0"/>
    <x v="2"/>
    <x v="1"/>
    <s v="Referral"/>
    <x v="1"/>
    <n v="0"/>
    <n v="0"/>
    <n v="0"/>
    <n v="0"/>
    <n v="0"/>
    <n v="0"/>
    <n v="0"/>
    <m/>
    <n v="50"/>
    <n v="1"/>
  </r>
  <r>
    <s v="USR-100270"/>
    <d v="2025-03-25T00:00:00"/>
    <x v="0"/>
    <x v="2"/>
    <x v="2"/>
    <s v="Paid Search"/>
    <x v="0"/>
    <n v="1"/>
    <n v="0"/>
    <n v="0"/>
    <n v="0"/>
    <n v="0"/>
    <n v="0"/>
    <n v="0"/>
    <m/>
    <n v="62"/>
    <n v="1"/>
  </r>
  <r>
    <s v="USR-100271"/>
    <d v="2025-02-13T00:00:00"/>
    <x v="0"/>
    <x v="2"/>
    <x v="0"/>
    <s v="Referral"/>
    <x v="1"/>
    <n v="1"/>
    <n v="0"/>
    <n v="0"/>
    <n v="0"/>
    <n v="0"/>
    <n v="0"/>
    <n v="0"/>
    <m/>
    <n v="29.3"/>
    <n v="1"/>
  </r>
  <r>
    <s v="USR-100272"/>
    <d v="2025-03-17T00:00:00"/>
    <x v="0"/>
    <x v="1"/>
    <x v="0"/>
    <s v="Organic"/>
    <x v="1"/>
    <n v="1"/>
    <n v="0"/>
    <n v="0"/>
    <n v="0"/>
    <n v="0"/>
    <n v="0"/>
    <n v="0"/>
    <m/>
    <n v="67.900000000000006"/>
    <n v="1"/>
  </r>
  <r>
    <s v="USR-100273"/>
    <d v="2025-05-10T00:00:00"/>
    <x v="0"/>
    <x v="0"/>
    <x v="1"/>
    <s v="Referral"/>
    <x v="1"/>
    <n v="1"/>
    <n v="1"/>
    <n v="1"/>
    <n v="0"/>
    <n v="0"/>
    <n v="0"/>
    <n v="0"/>
    <m/>
    <n v="67.599999999999994"/>
    <n v="1"/>
  </r>
  <r>
    <s v="USR-100274"/>
    <d v="2025-05-07T00:00:00"/>
    <x v="0"/>
    <x v="3"/>
    <x v="1"/>
    <s v="Paid Search"/>
    <x v="0"/>
    <n v="0"/>
    <n v="0"/>
    <n v="0"/>
    <n v="0"/>
    <n v="0"/>
    <n v="0"/>
    <n v="0"/>
    <m/>
    <n v="67.400000000000006"/>
    <n v="1"/>
  </r>
  <r>
    <s v="USR-100275"/>
    <d v="2025-02-26T00:00:00"/>
    <x v="0"/>
    <x v="1"/>
    <x v="0"/>
    <s v="Paid Search"/>
    <x v="2"/>
    <n v="0"/>
    <n v="0"/>
    <n v="0"/>
    <n v="0"/>
    <n v="0"/>
    <n v="2"/>
    <n v="0"/>
    <m/>
    <n v="53"/>
    <n v="1"/>
  </r>
  <r>
    <s v="USR-100276"/>
    <d v="2025-05-11T00:00:00"/>
    <x v="0"/>
    <x v="0"/>
    <x v="1"/>
    <s v="Organic"/>
    <x v="0"/>
    <n v="0"/>
    <n v="0"/>
    <n v="0"/>
    <n v="0"/>
    <n v="0"/>
    <n v="0"/>
    <n v="0"/>
    <m/>
    <n v="65.5"/>
    <n v="1"/>
  </r>
  <r>
    <s v="USR-100277"/>
    <d v="2025-03-20T00:00:00"/>
    <x v="0"/>
    <x v="3"/>
    <x v="1"/>
    <s v="Organic"/>
    <x v="0"/>
    <n v="1"/>
    <n v="1"/>
    <n v="0"/>
    <n v="0"/>
    <n v="0"/>
    <n v="0"/>
    <n v="0"/>
    <m/>
    <n v="49.6"/>
    <n v="1"/>
  </r>
  <r>
    <s v="USR-100278"/>
    <d v="2025-01-19T00:00:00"/>
    <x v="0"/>
    <x v="0"/>
    <x v="1"/>
    <s v="Email"/>
    <x v="1"/>
    <n v="1"/>
    <n v="1"/>
    <n v="0"/>
    <n v="0"/>
    <n v="0"/>
    <n v="0"/>
    <n v="0"/>
    <m/>
    <n v="74.5"/>
    <n v="1"/>
  </r>
  <r>
    <s v="USR-100279"/>
    <d v="2025-03-08T00:00:00"/>
    <x v="0"/>
    <x v="0"/>
    <x v="2"/>
    <s v="Paid Search"/>
    <x v="2"/>
    <n v="1"/>
    <n v="0"/>
    <n v="0"/>
    <n v="0"/>
    <n v="0"/>
    <n v="1"/>
    <n v="0"/>
    <m/>
    <n v="46.9"/>
    <n v="1"/>
  </r>
  <r>
    <s v="USR-100280"/>
    <d v="2025-04-25T00:00:00"/>
    <x v="0"/>
    <x v="0"/>
    <x v="1"/>
    <s v="Organic"/>
    <x v="1"/>
    <n v="0"/>
    <n v="0"/>
    <n v="0"/>
    <n v="0"/>
    <n v="0"/>
    <n v="0"/>
    <n v="0"/>
    <m/>
    <n v="87.1"/>
    <n v="1"/>
  </r>
  <r>
    <s v="USR-100281"/>
    <d v="2025-04-04T00:00:00"/>
    <x v="0"/>
    <x v="0"/>
    <x v="0"/>
    <s v="Organic"/>
    <x v="1"/>
    <n v="1"/>
    <n v="0"/>
    <n v="0"/>
    <n v="0"/>
    <n v="0"/>
    <n v="0"/>
    <n v="0"/>
    <m/>
    <n v="56"/>
    <n v="1"/>
  </r>
  <r>
    <s v="USR-100282"/>
    <d v="2025-05-01T00:00:00"/>
    <x v="0"/>
    <x v="2"/>
    <x v="1"/>
    <s v="Paid Search"/>
    <x v="2"/>
    <n v="1"/>
    <n v="0"/>
    <n v="0"/>
    <n v="0"/>
    <n v="0"/>
    <n v="1"/>
    <n v="0"/>
    <m/>
    <n v="61.7"/>
    <n v="1"/>
  </r>
  <r>
    <s v="USR-100283"/>
    <d v="2025-01-21T00:00:00"/>
    <x v="0"/>
    <x v="3"/>
    <x v="1"/>
    <s v="Social"/>
    <x v="1"/>
    <n v="1"/>
    <n v="0"/>
    <n v="0"/>
    <n v="0"/>
    <n v="0"/>
    <n v="1"/>
    <n v="0"/>
    <m/>
    <n v="70.5"/>
    <n v="1"/>
  </r>
  <r>
    <s v="USR-100284"/>
    <d v="2025-02-10T00:00:00"/>
    <x v="0"/>
    <x v="0"/>
    <x v="0"/>
    <s v="Referral"/>
    <x v="0"/>
    <n v="1"/>
    <n v="0"/>
    <n v="0"/>
    <n v="0"/>
    <n v="0"/>
    <n v="0"/>
    <n v="0"/>
    <m/>
    <n v="33.4"/>
    <n v="1"/>
  </r>
  <r>
    <s v="USR-100285"/>
    <d v="2025-05-06T00:00:00"/>
    <x v="0"/>
    <x v="3"/>
    <x v="0"/>
    <s v="Organic"/>
    <x v="1"/>
    <n v="1"/>
    <n v="0"/>
    <n v="0"/>
    <n v="0"/>
    <n v="0"/>
    <n v="0"/>
    <n v="0"/>
    <m/>
    <n v="57.5"/>
    <n v="1"/>
  </r>
  <r>
    <s v="USR-100286"/>
    <d v="2025-02-08T00:00:00"/>
    <x v="0"/>
    <x v="0"/>
    <x v="0"/>
    <s v="Paid Search"/>
    <x v="0"/>
    <n v="1"/>
    <n v="1"/>
    <n v="0"/>
    <n v="0"/>
    <n v="0"/>
    <n v="0"/>
    <n v="0"/>
    <m/>
    <n v="85.7"/>
    <n v="1"/>
  </r>
  <r>
    <s v="USR-100287"/>
    <d v="2025-05-31T00:00:00"/>
    <x v="0"/>
    <x v="2"/>
    <x v="1"/>
    <s v="Social"/>
    <x v="1"/>
    <n v="1"/>
    <n v="0"/>
    <n v="0"/>
    <n v="0"/>
    <n v="0"/>
    <n v="0"/>
    <n v="0"/>
    <m/>
    <n v="41.9"/>
    <n v="1"/>
  </r>
  <r>
    <s v="USR-100288"/>
    <d v="2025-02-07T00:00:00"/>
    <x v="0"/>
    <x v="1"/>
    <x v="1"/>
    <s v="Email"/>
    <x v="0"/>
    <n v="1"/>
    <n v="0"/>
    <n v="0"/>
    <n v="0"/>
    <n v="0"/>
    <n v="0"/>
    <n v="0"/>
    <m/>
    <n v="70.2"/>
    <n v="1"/>
  </r>
  <r>
    <s v="USR-100289"/>
    <d v="2025-02-10T00:00:00"/>
    <x v="0"/>
    <x v="0"/>
    <x v="1"/>
    <s v="Social"/>
    <x v="1"/>
    <n v="1"/>
    <n v="0"/>
    <n v="0"/>
    <n v="0"/>
    <n v="0"/>
    <n v="0"/>
    <n v="0"/>
    <m/>
    <n v="42.6"/>
    <n v="1"/>
  </r>
  <r>
    <s v="USR-100290"/>
    <d v="2025-01-31T00:00:00"/>
    <x v="0"/>
    <x v="1"/>
    <x v="1"/>
    <s v="Social"/>
    <x v="0"/>
    <n v="0"/>
    <n v="0"/>
    <n v="0"/>
    <n v="0"/>
    <n v="0"/>
    <n v="2"/>
    <n v="0"/>
    <m/>
    <n v="30.4"/>
    <n v="1"/>
  </r>
  <r>
    <s v="USR-100291"/>
    <d v="2025-03-16T00:00:00"/>
    <x v="0"/>
    <x v="2"/>
    <x v="1"/>
    <s v="Paid Search"/>
    <x v="0"/>
    <n v="1"/>
    <n v="0"/>
    <n v="0"/>
    <n v="0"/>
    <n v="0"/>
    <n v="0"/>
    <n v="0"/>
    <m/>
    <n v="63.7"/>
    <n v="1"/>
  </r>
  <r>
    <s v="USR-100292"/>
    <d v="2025-04-24T00:00:00"/>
    <x v="0"/>
    <x v="3"/>
    <x v="1"/>
    <s v="Social"/>
    <x v="0"/>
    <n v="0"/>
    <n v="0"/>
    <n v="0"/>
    <n v="0"/>
    <n v="0"/>
    <n v="0"/>
    <n v="0"/>
    <m/>
    <n v="42.7"/>
    <n v="1"/>
  </r>
  <r>
    <s v="USR-100293"/>
    <d v="2025-01-28T00:00:00"/>
    <x v="0"/>
    <x v="0"/>
    <x v="1"/>
    <s v="Organic"/>
    <x v="1"/>
    <n v="0"/>
    <n v="0"/>
    <n v="0"/>
    <n v="0"/>
    <n v="0"/>
    <n v="0"/>
    <n v="0"/>
    <m/>
    <n v="74.3"/>
    <n v="1"/>
  </r>
  <r>
    <s v="USR-100294"/>
    <d v="2025-02-16T00:00:00"/>
    <x v="0"/>
    <x v="1"/>
    <x v="0"/>
    <s v="Email"/>
    <x v="1"/>
    <n v="1"/>
    <n v="0"/>
    <n v="0"/>
    <n v="0"/>
    <n v="0"/>
    <n v="0"/>
    <n v="0"/>
    <m/>
    <n v="40.6"/>
    <n v="1"/>
  </r>
  <r>
    <s v="USR-100295"/>
    <d v="2025-03-23T00:00:00"/>
    <x v="0"/>
    <x v="2"/>
    <x v="1"/>
    <s v="Organic"/>
    <x v="2"/>
    <n v="0"/>
    <n v="0"/>
    <n v="0"/>
    <n v="0"/>
    <n v="0"/>
    <n v="0"/>
    <n v="0"/>
    <m/>
    <n v="67"/>
    <n v="1"/>
  </r>
  <r>
    <s v="USR-100296"/>
    <d v="2025-05-31T00:00:00"/>
    <x v="0"/>
    <x v="2"/>
    <x v="1"/>
    <s v="Paid Search"/>
    <x v="2"/>
    <n v="0"/>
    <n v="0"/>
    <n v="0"/>
    <n v="0"/>
    <n v="0"/>
    <n v="0"/>
    <n v="0"/>
    <m/>
    <n v="51"/>
    <n v="1"/>
  </r>
  <r>
    <s v="USR-100297"/>
    <d v="2025-04-13T00:00:00"/>
    <x v="0"/>
    <x v="1"/>
    <x v="1"/>
    <s v="Social"/>
    <x v="0"/>
    <n v="1"/>
    <n v="1"/>
    <n v="0"/>
    <n v="0"/>
    <n v="0"/>
    <n v="1"/>
    <n v="0"/>
    <m/>
    <n v="54.8"/>
    <n v="1"/>
  </r>
  <r>
    <s v="USR-100298"/>
    <d v="2025-05-14T00:00:00"/>
    <x v="0"/>
    <x v="0"/>
    <x v="2"/>
    <s v="Email"/>
    <x v="0"/>
    <n v="0"/>
    <n v="0"/>
    <n v="0"/>
    <n v="0"/>
    <n v="0"/>
    <n v="0"/>
    <n v="0"/>
    <m/>
    <n v="40.799999999999997"/>
    <n v="1"/>
  </r>
  <r>
    <s v="USR-100299"/>
    <d v="2025-02-19T00:00:00"/>
    <x v="0"/>
    <x v="2"/>
    <x v="1"/>
    <s v="Paid Search"/>
    <x v="1"/>
    <n v="0"/>
    <n v="0"/>
    <n v="0"/>
    <n v="0"/>
    <n v="0"/>
    <n v="0"/>
    <n v="0"/>
    <m/>
    <n v="48.8"/>
    <n v="1"/>
  </r>
  <r>
    <s v="USR-100300"/>
    <d v="2025-01-24T00:00:00"/>
    <x v="0"/>
    <x v="3"/>
    <x v="1"/>
    <m/>
    <x v="0"/>
    <n v="1"/>
    <n v="1"/>
    <n v="1"/>
    <n v="1"/>
    <n v="1198.69"/>
    <n v="1"/>
    <n v="0"/>
    <n v="6"/>
    <n v="88.9"/>
    <n v="1"/>
  </r>
  <r>
    <s v="USR-100301"/>
    <d v="2025-05-09T00:00:00"/>
    <x v="0"/>
    <x v="0"/>
    <x v="1"/>
    <s v="Email"/>
    <x v="0"/>
    <n v="1"/>
    <n v="1"/>
    <n v="1"/>
    <n v="0"/>
    <n v="0"/>
    <n v="1"/>
    <n v="0"/>
    <m/>
    <n v="60.5"/>
    <n v="1"/>
  </r>
  <r>
    <s v="USR-100302"/>
    <d v="2025-02-11T00:00:00"/>
    <x v="0"/>
    <x v="0"/>
    <x v="1"/>
    <s v="Organic"/>
    <x v="0"/>
    <n v="1"/>
    <n v="0"/>
    <n v="0"/>
    <n v="0"/>
    <n v="0"/>
    <n v="0"/>
    <n v="0"/>
    <m/>
    <n v="63.6"/>
    <n v="1"/>
  </r>
  <r>
    <s v="USR-100303"/>
    <d v="2025-02-26T00:00:00"/>
    <x v="0"/>
    <x v="0"/>
    <x v="0"/>
    <s v="Organic"/>
    <x v="0"/>
    <n v="1"/>
    <n v="1"/>
    <n v="1"/>
    <n v="1"/>
    <n v="6788.95"/>
    <n v="0"/>
    <n v="0"/>
    <n v="17"/>
    <n v="58.4"/>
    <n v="1"/>
  </r>
  <r>
    <s v="USR-100304"/>
    <d v="2025-02-12T00:00:00"/>
    <x v="0"/>
    <x v="3"/>
    <x v="1"/>
    <s v="Social"/>
    <x v="2"/>
    <n v="0"/>
    <n v="0"/>
    <n v="0"/>
    <n v="0"/>
    <n v="0"/>
    <n v="0"/>
    <n v="0"/>
    <m/>
    <n v="52.7"/>
    <n v="1"/>
  </r>
  <r>
    <s v="USR-100305"/>
    <d v="2025-01-05T00:00:00"/>
    <x v="0"/>
    <x v="3"/>
    <x v="2"/>
    <s v="Social"/>
    <x v="2"/>
    <n v="1"/>
    <n v="1"/>
    <n v="1"/>
    <n v="0"/>
    <n v="0"/>
    <n v="2"/>
    <n v="0"/>
    <m/>
    <n v="48.9"/>
    <n v="1"/>
  </r>
  <r>
    <s v="USR-100306"/>
    <d v="2025-05-19T00:00:00"/>
    <x v="0"/>
    <x v="1"/>
    <x v="1"/>
    <s v="Organic"/>
    <x v="2"/>
    <n v="0"/>
    <n v="0"/>
    <n v="0"/>
    <n v="0"/>
    <n v="0"/>
    <n v="0"/>
    <n v="0"/>
    <m/>
    <n v="79.7"/>
    <n v="1"/>
  </r>
  <r>
    <s v="USR-100307"/>
    <d v="2025-02-02T00:00:00"/>
    <x v="0"/>
    <x v="0"/>
    <x v="1"/>
    <s v="Social"/>
    <x v="1"/>
    <n v="1"/>
    <n v="0"/>
    <n v="0"/>
    <n v="0"/>
    <n v="0"/>
    <n v="0"/>
    <n v="0"/>
    <m/>
    <n v="44.9"/>
    <n v="1"/>
  </r>
  <r>
    <s v="USR-100308"/>
    <d v="2025-01-30T00:00:00"/>
    <x v="0"/>
    <x v="1"/>
    <x v="2"/>
    <s v="Paid Search"/>
    <x v="1"/>
    <n v="1"/>
    <n v="1"/>
    <n v="1"/>
    <n v="1"/>
    <n v="409.39"/>
    <n v="0"/>
    <n v="0"/>
    <n v="10"/>
    <n v="38.799999999999997"/>
    <n v="1"/>
  </r>
  <r>
    <s v="USR-100309"/>
    <d v="2025-05-01T00:00:00"/>
    <x v="0"/>
    <x v="3"/>
    <x v="0"/>
    <s v="Email"/>
    <x v="1"/>
    <n v="0"/>
    <n v="0"/>
    <n v="0"/>
    <n v="0"/>
    <n v="0"/>
    <n v="0"/>
    <n v="0"/>
    <m/>
    <n v="70"/>
    <n v="1"/>
  </r>
  <r>
    <s v="USR-100310"/>
    <d v="2025-05-16T00:00:00"/>
    <x v="0"/>
    <x v="3"/>
    <x v="0"/>
    <s v="Referral"/>
    <x v="0"/>
    <n v="1"/>
    <n v="0"/>
    <n v="0"/>
    <n v="0"/>
    <n v="0"/>
    <n v="0"/>
    <n v="0"/>
    <m/>
    <n v="77.7"/>
    <n v="1"/>
  </r>
  <r>
    <s v="USR-100311"/>
    <d v="2025-03-08T00:00:00"/>
    <x v="0"/>
    <x v="1"/>
    <x v="1"/>
    <s v="Organic"/>
    <x v="1"/>
    <n v="0"/>
    <n v="0"/>
    <n v="0"/>
    <n v="0"/>
    <n v="0"/>
    <n v="0"/>
    <n v="0"/>
    <m/>
    <n v="71.2"/>
    <n v="1"/>
  </r>
  <r>
    <s v="USR-100312"/>
    <d v="2025-04-04T00:00:00"/>
    <x v="0"/>
    <x v="0"/>
    <x v="1"/>
    <s v="Organic"/>
    <x v="0"/>
    <n v="1"/>
    <n v="0"/>
    <n v="0"/>
    <n v="0"/>
    <n v="0"/>
    <n v="0"/>
    <n v="0"/>
    <m/>
    <n v="43.8"/>
    <n v="1"/>
  </r>
  <r>
    <s v="USR-100313"/>
    <d v="2025-05-30T00:00:00"/>
    <x v="0"/>
    <x v="3"/>
    <x v="2"/>
    <s v="Organic"/>
    <x v="1"/>
    <n v="1"/>
    <n v="0"/>
    <n v="0"/>
    <n v="0"/>
    <n v="0"/>
    <n v="0"/>
    <n v="0"/>
    <m/>
    <n v="50.9"/>
    <n v="1"/>
  </r>
  <r>
    <s v="USR-100314"/>
    <d v="2025-01-05T00:00:00"/>
    <x v="0"/>
    <x v="1"/>
    <x v="1"/>
    <s v="Organic"/>
    <x v="2"/>
    <n v="0"/>
    <n v="0"/>
    <n v="0"/>
    <n v="0"/>
    <n v="0"/>
    <n v="0"/>
    <n v="0"/>
    <m/>
    <n v="58.5"/>
    <n v="1"/>
  </r>
  <r>
    <s v="USR-100315"/>
    <d v="2025-01-20T00:00:00"/>
    <x v="0"/>
    <x v="2"/>
    <x v="1"/>
    <s v="Organic"/>
    <x v="1"/>
    <n v="1"/>
    <n v="1"/>
    <n v="1"/>
    <n v="0"/>
    <n v="0"/>
    <n v="0"/>
    <n v="0"/>
    <m/>
    <n v="53.6"/>
    <n v="1"/>
  </r>
  <r>
    <s v="USR-100316"/>
    <d v="2025-05-01T00:00:00"/>
    <x v="0"/>
    <x v="2"/>
    <x v="1"/>
    <s v="Email"/>
    <x v="1"/>
    <n v="0"/>
    <n v="0"/>
    <n v="0"/>
    <n v="0"/>
    <n v="0"/>
    <n v="0"/>
    <n v="0"/>
    <m/>
    <n v="54.9"/>
    <n v="1"/>
  </r>
  <r>
    <s v="USR-100317"/>
    <d v="2025-03-05T00:00:00"/>
    <x v="0"/>
    <x v="0"/>
    <x v="0"/>
    <s v="Organic"/>
    <x v="2"/>
    <n v="0"/>
    <n v="0"/>
    <n v="0"/>
    <n v="0"/>
    <n v="0"/>
    <n v="0"/>
    <n v="0"/>
    <m/>
    <n v="57.3"/>
    <n v="1"/>
  </r>
  <r>
    <s v="USR-100318"/>
    <d v="2025-04-01T00:00:00"/>
    <x v="0"/>
    <x v="2"/>
    <x v="0"/>
    <s v="Referral"/>
    <x v="1"/>
    <n v="1"/>
    <n v="0"/>
    <n v="0"/>
    <n v="0"/>
    <n v="0"/>
    <n v="0"/>
    <n v="0"/>
    <m/>
    <n v="52.1"/>
    <n v="1"/>
  </r>
  <r>
    <s v="USR-100319"/>
    <d v="2025-05-03T00:00:00"/>
    <x v="0"/>
    <x v="0"/>
    <x v="1"/>
    <s v="Organic"/>
    <x v="1"/>
    <n v="1"/>
    <n v="0"/>
    <n v="0"/>
    <n v="0"/>
    <n v="0"/>
    <n v="0"/>
    <n v="0"/>
    <m/>
    <n v="80"/>
    <n v="1"/>
  </r>
  <r>
    <s v="USR-100320"/>
    <d v="2025-03-06T00:00:00"/>
    <x v="0"/>
    <x v="3"/>
    <x v="0"/>
    <s v="Paid Search"/>
    <x v="2"/>
    <n v="1"/>
    <n v="0"/>
    <n v="0"/>
    <n v="0"/>
    <n v="0"/>
    <n v="0"/>
    <n v="0"/>
    <m/>
    <n v="39.299999999999997"/>
    <n v="1"/>
  </r>
  <r>
    <s v="USR-100321"/>
    <d v="2025-04-01T00:00:00"/>
    <x v="0"/>
    <x v="0"/>
    <x v="0"/>
    <s v="Referral"/>
    <x v="2"/>
    <n v="0"/>
    <n v="0"/>
    <n v="0"/>
    <n v="0"/>
    <n v="0"/>
    <n v="0"/>
    <n v="0"/>
    <m/>
    <n v="45.7"/>
    <n v="1"/>
  </r>
  <r>
    <s v="USR-100322"/>
    <d v="2025-02-09T00:00:00"/>
    <x v="0"/>
    <x v="0"/>
    <x v="0"/>
    <s v="Social"/>
    <x v="0"/>
    <n v="1"/>
    <n v="0"/>
    <n v="0"/>
    <n v="0"/>
    <n v="0"/>
    <n v="2"/>
    <n v="0"/>
    <m/>
    <n v="61.2"/>
    <n v="1"/>
  </r>
  <r>
    <s v="USR-100323"/>
    <d v="2025-04-12T00:00:00"/>
    <x v="0"/>
    <x v="1"/>
    <x v="1"/>
    <s v="Organic"/>
    <x v="0"/>
    <n v="1"/>
    <n v="1"/>
    <n v="0"/>
    <n v="0"/>
    <n v="0"/>
    <n v="0"/>
    <n v="0"/>
    <m/>
    <n v="66.2"/>
    <n v="1"/>
  </r>
  <r>
    <s v="USR-100324"/>
    <d v="2025-03-18T00:00:00"/>
    <x v="0"/>
    <x v="2"/>
    <x v="1"/>
    <s v="Social"/>
    <x v="1"/>
    <n v="1"/>
    <n v="1"/>
    <n v="1"/>
    <n v="0"/>
    <n v="0"/>
    <n v="0"/>
    <n v="0"/>
    <m/>
    <n v="61.3"/>
    <n v="1"/>
  </r>
  <r>
    <s v="USR-100325"/>
    <d v="2025-04-03T00:00:00"/>
    <x v="0"/>
    <x v="2"/>
    <x v="1"/>
    <s v="Paid Search"/>
    <x v="1"/>
    <n v="1"/>
    <n v="0"/>
    <n v="0"/>
    <n v="0"/>
    <n v="0"/>
    <n v="0"/>
    <n v="0"/>
    <m/>
    <n v="72.2"/>
    <n v="1"/>
  </r>
  <r>
    <s v="USR-100326"/>
    <d v="2025-04-02T00:00:00"/>
    <x v="0"/>
    <x v="1"/>
    <x v="1"/>
    <s v="Email"/>
    <x v="2"/>
    <n v="1"/>
    <n v="1"/>
    <n v="1"/>
    <n v="0"/>
    <n v="0"/>
    <n v="0"/>
    <n v="0"/>
    <m/>
    <n v="84"/>
    <n v="1"/>
  </r>
  <r>
    <s v="USR-100327"/>
    <d v="2025-05-10T00:00:00"/>
    <x v="0"/>
    <x v="1"/>
    <x v="0"/>
    <s v="Email"/>
    <x v="0"/>
    <n v="0"/>
    <n v="0"/>
    <n v="0"/>
    <n v="0"/>
    <n v="0"/>
    <n v="0"/>
    <n v="0"/>
    <m/>
    <n v="59.8"/>
    <n v="1"/>
  </r>
  <r>
    <s v="USR-100328"/>
    <d v="2025-04-29T00:00:00"/>
    <x v="0"/>
    <x v="1"/>
    <x v="0"/>
    <s v="Paid Search"/>
    <x v="1"/>
    <n v="1"/>
    <n v="0"/>
    <n v="0"/>
    <n v="0"/>
    <n v="0"/>
    <n v="0"/>
    <n v="0"/>
    <m/>
    <n v="64.900000000000006"/>
    <n v="1"/>
  </r>
  <r>
    <s v="USR-100329"/>
    <d v="2025-02-27T00:00:00"/>
    <x v="0"/>
    <x v="3"/>
    <x v="1"/>
    <s v="Paid Search"/>
    <x v="1"/>
    <n v="1"/>
    <n v="0"/>
    <n v="0"/>
    <n v="0"/>
    <n v="0"/>
    <n v="0"/>
    <n v="0"/>
    <m/>
    <n v="66.8"/>
    <n v="1"/>
  </r>
  <r>
    <s v="USR-100330"/>
    <d v="2025-04-10T00:00:00"/>
    <x v="0"/>
    <x v="0"/>
    <x v="0"/>
    <s v="Organic"/>
    <x v="2"/>
    <n v="0"/>
    <n v="0"/>
    <n v="0"/>
    <n v="0"/>
    <n v="0"/>
    <n v="0"/>
    <n v="0"/>
    <m/>
    <n v="70.900000000000006"/>
    <n v="1"/>
  </r>
  <r>
    <s v="USR-100331"/>
    <d v="2025-02-13T00:00:00"/>
    <x v="0"/>
    <x v="2"/>
    <x v="1"/>
    <s v="Organic"/>
    <x v="1"/>
    <n v="1"/>
    <n v="1"/>
    <n v="1"/>
    <n v="1"/>
    <n v="426.82"/>
    <n v="1"/>
    <n v="0"/>
    <n v="14"/>
    <n v="68.8"/>
    <n v="1"/>
  </r>
  <r>
    <s v="USR-100332"/>
    <d v="2025-05-03T00:00:00"/>
    <x v="0"/>
    <x v="0"/>
    <x v="1"/>
    <s v="Organic"/>
    <x v="0"/>
    <n v="1"/>
    <n v="0"/>
    <n v="0"/>
    <n v="0"/>
    <n v="0"/>
    <n v="0"/>
    <n v="0"/>
    <m/>
    <n v="72.400000000000006"/>
    <n v="1"/>
  </r>
  <r>
    <s v="USR-100333"/>
    <d v="2025-03-10T00:00:00"/>
    <x v="0"/>
    <x v="2"/>
    <x v="1"/>
    <s v="Organic"/>
    <x v="0"/>
    <n v="0"/>
    <n v="0"/>
    <n v="0"/>
    <n v="0"/>
    <n v="0"/>
    <n v="0"/>
    <n v="0"/>
    <m/>
    <n v="63.3"/>
    <n v="1"/>
  </r>
  <r>
    <s v="USR-100334"/>
    <d v="2025-01-10T00:00:00"/>
    <x v="0"/>
    <x v="1"/>
    <x v="2"/>
    <s v="Social"/>
    <x v="1"/>
    <n v="1"/>
    <n v="0"/>
    <n v="0"/>
    <n v="0"/>
    <n v="0"/>
    <n v="0"/>
    <n v="0"/>
    <m/>
    <n v="30.8"/>
    <n v="1"/>
  </r>
  <r>
    <s v="USR-100335"/>
    <d v="2025-01-16T00:00:00"/>
    <x v="0"/>
    <x v="3"/>
    <x v="1"/>
    <s v="Email"/>
    <x v="0"/>
    <n v="1"/>
    <n v="1"/>
    <n v="1"/>
    <n v="1"/>
    <n v="874.55"/>
    <n v="0"/>
    <n v="0"/>
    <n v="9"/>
    <n v="44.2"/>
    <n v="1"/>
  </r>
  <r>
    <s v="USR-100336"/>
    <d v="2025-02-11T00:00:00"/>
    <x v="0"/>
    <x v="3"/>
    <x v="0"/>
    <s v="Organic"/>
    <x v="2"/>
    <n v="1"/>
    <n v="1"/>
    <n v="1"/>
    <n v="1"/>
    <n v="2206.88"/>
    <n v="0"/>
    <n v="0"/>
    <n v="10"/>
    <n v="56.2"/>
    <n v="1"/>
  </r>
  <r>
    <s v="USR-100337"/>
    <d v="2025-04-13T00:00:00"/>
    <x v="0"/>
    <x v="1"/>
    <x v="1"/>
    <s v="Organic"/>
    <x v="1"/>
    <n v="0"/>
    <n v="0"/>
    <n v="0"/>
    <n v="0"/>
    <n v="0"/>
    <n v="0"/>
    <n v="0"/>
    <m/>
    <n v="40.4"/>
    <n v="1"/>
  </r>
  <r>
    <s v="USR-100338"/>
    <d v="2025-02-08T00:00:00"/>
    <x v="0"/>
    <x v="2"/>
    <x v="1"/>
    <s v="Paid Search"/>
    <x v="1"/>
    <n v="1"/>
    <n v="1"/>
    <n v="1"/>
    <n v="0"/>
    <n v="0"/>
    <n v="0"/>
    <n v="0"/>
    <m/>
    <n v="68.099999999999994"/>
    <n v="1"/>
  </r>
  <r>
    <s v="USR-100339"/>
    <d v="2025-03-31T00:00:00"/>
    <x v="0"/>
    <x v="1"/>
    <x v="0"/>
    <s v="Referral"/>
    <x v="1"/>
    <n v="1"/>
    <n v="0"/>
    <n v="0"/>
    <n v="0"/>
    <n v="0"/>
    <n v="0"/>
    <n v="0"/>
    <m/>
    <n v="86.3"/>
    <n v="1"/>
  </r>
  <r>
    <s v="USR-100340"/>
    <d v="2025-01-31T00:00:00"/>
    <x v="0"/>
    <x v="1"/>
    <x v="0"/>
    <s v="Referral"/>
    <x v="1"/>
    <n v="1"/>
    <n v="1"/>
    <n v="0"/>
    <n v="0"/>
    <n v="0"/>
    <n v="0"/>
    <n v="0"/>
    <m/>
    <n v="42.9"/>
    <n v="1"/>
  </r>
  <r>
    <s v="USR-100341"/>
    <d v="2025-05-08T00:00:00"/>
    <x v="0"/>
    <x v="1"/>
    <x v="2"/>
    <s v="Organic"/>
    <x v="1"/>
    <n v="0"/>
    <n v="0"/>
    <n v="0"/>
    <n v="0"/>
    <n v="0"/>
    <n v="0"/>
    <n v="0"/>
    <m/>
    <n v="61.4"/>
    <n v="1"/>
  </r>
  <r>
    <s v="USR-100342"/>
    <d v="2025-03-15T00:00:00"/>
    <x v="0"/>
    <x v="0"/>
    <x v="1"/>
    <s v="Paid Search"/>
    <x v="1"/>
    <n v="1"/>
    <n v="0"/>
    <n v="0"/>
    <n v="0"/>
    <n v="0"/>
    <n v="1"/>
    <n v="0"/>
    <m/>
    <n v="73.3"/>
    <n v="1"/>
  </r>
  <r>
    <s v="USR-100343"/>
    <d v="2025-01-13T00:00:00"/>
    <x v="0"/>
    <x v="3"/>
    <x v="1"/>
    <s v="Referral"/>
    <x v="0"/>
    <n v="1"/>
    <n v="0"/>
    <n v="0"/>
    <n v="0"/>
    <n v="0"/>
    <n v="0"/>
    <n v="0"/>
    <m/>
    <n v="59.4"/>
    <n v="1"/>
  </r>
  <r>
    <s v="USR-100344"/>
    <d v="2025-03-07T00:00:00"/>
    <x v="0"/>
    <x v="3"/>
    <x v="2"/>
    <s v="Organic"/>
    <x v="0"/>
    <n v="1"/>
    <n v="0"/>
    <n v="0"/>
    <n v="0"/>
    <n v="0"/>
    <n v="0"/>
    <n v="0"/>
    <m/>
    <n v="35.200000000000003"/>
    <n v="1"/>
  </r>
  <r>
    <s v="USR-100345"/>
    <d v="2025-02-10T00:00:00"/>
    <x v="0"/>
    <x v="3"/>
    <x v="1"/>
    <s v="Social"/>
    <x v="2"/>
    <n v="1"/>
    <n v="1"/>
    <n v="0"/>
    <n v="0"/>
    <n v="0"/>
    <n v="0"/>
    <n v="0"/>
    <m/>
    <n v="55.3"/>
    <n v="1"/>
  </r>
  <r>
    <s v="USR-100346"/>
    <d v="2025-03-12T00:00:00"/>
    <x v="0"/>
    <x v="2"/>
    <x v="1"/>
    <s v="Paid Search"/>
    <x v="1"/>
    <n v="0"/>
    <n v="0"/>
    <n v="0"/>
    <n v="0"/>
    <n v="0"/>
    <n v="0"/>
    <n v="0"/>
    <m/>
    <n v="37.5"/>
    <n v="1"/>
  </r>
  <r>
    <s v="USR-100347"/>
    <d v="2025-01-03T00:00:00"/>
    <x v="0"/>
    <x v="3"/>
    <x v="0"/>
    <s v="Paid Search"/>
    <x v="1"/>
    <n v="0"/>
    <n v="0"/>
    <n v="0"/>
    <n v="0"/>
    <n v="0"/>
    <n v="1"/>
    <n v="0"/>
    <m/>
    <n v="66.400000000000006"/>
    <n v="1"/>
  </r>
  <r>
    <s v="USR-100348"/>
    <d v="2025-04-28T00:00:00"/>
    <x v="0"/>
    <x v="0"/>
    <x v="2"/>
    <s v="Social"/>
    <x v="0"/>
    <n v="1"/>
    <n v="0"/>
    <n v="0"/>
    <n v="0"/>
    <n v="0"/>
    <n v="0"/>
    <n v="0"/>
    <m/>
    <n v="61.9"/>
    <n v="1"/>
  </r>
  <r>
    <s v="USR-100349"/>
    <d v="2025-04-17T00:00:00"/>
    <x v="0"/>
    <x v="2"/>
    <x v="1"/>
    <s v="Organic"/>
    <x v="1"/>
    <n v="0"/>
    <n v="0"/>
    <n v="0"/>
    <n v="0"/>
    <n v="0"/>
    <n v="0"/>
    <n v="0"/>
    <m/>
    <n v="56"/>
    <n v="1"/>
  </r>
  <r>
    <s v="USR-100350"/>
    <d v="2025-05-23T00:00:00"/>
    <x v="0"/>
    <x v="3"/>
    <x v="0"/>
    <s v="Social"/>
    <x v="0"/>
    <n v="1"/>
    <n v="0"/>
    <n v="0"/>
    <n v="0"/>
    <n v="0"/>
    <n v="0"/>
    <n v="0"/>
    <m/>
    <n v="55.5"/>
    <n v="1"/>
  </r>
  <r>
    <s v="USR-100351"/>
    <d v="2025-02-19T00:00:00"/>
    <x v="0"/>
    <x v="1"/>
    <x v="2"/>
    <s v="Referral"/>
    <x v="0"/>
    <n v="1"/>
    <n v="0"/>
    <n v="0"/>
    <n v="0"/>
    <n v="0"/>
    <n v="0"/>
    <n v="0"/>
    <m/>
    <n v="37.200000000000003"/>
    <n v="1"/>
  </r>
  <r>
    <s v="USR-100352"/>
    <d v="2025-01-18T00:00:00"/>
    <x v="0"/>
    <x v="3"/>
    <x v="0"/>
    <s v="Organic"/>
    <x v="1"/>
    <n v="1"/>
    <n v="1"/>
    <n v="0"/>
    <n v="0"/>
    <n v="0"/>
    <n v="1"/>
    <n v="0"/>
    <m/>
    <n v="70.5"/>
    <n v="1"/>
  </r>
  <r>
    <s v="USR-100353"/>
    <d v="2025-04-17T00:00:00"/>
    <x v="0"/>
    <x v="0"/>
    <x v="1"/>
    <s v="Organic"/>
    <x v="1"/>
    <n v="0"/>
    <n v="0"/>
    <n v="0"/>
    <n v="0"/>
    <n v="0"/>
    <n v="0"/>
    <n v="0"/>
    <m/>
    <n v="61.2"/>
    <n v="1"/>
  </r>
  <r>
    <s v="USR-100354"/>
    <d v="2025-04-12T00:00:00"/>
    <x v="0"/>
    <x v="2"/>
    <x v="2"/>
    <s v="Social"/>
    <x v="1"/>
    <n v="1"/>
    <n v="1"/>
    <n v="1"/>
    <n v="0"/>
    <n v="0"/>
    <n v="0"/>
    <n v="0"/>
    <m/>
    <n v="64.599999999999994"/>
    <n v="1"/>
  </r>
  <r>
    <s v="USR-100355"/>
    <d v="2025-05-16T00:00:00"/>
    <x v="0"/>
    <x v="2"/>
    <x v="1"/>
    <s v="Email"/>
    <x v="1"/>
    <n v="1"/>
    <n v="1"/>
    <n v="0"/>
    <n v="0"/>
    <n v="0"/>
    <n v="0"/>
    <n v="0"/>
    <m/>
    <n v="91.7"/>
    <n v="1"/>
  </r>
  <r>
    <s v="USR-100356"/>
    <d v="2025-03-24T00:00:00"/>
    <x v="0"/>
    <x v="1"/>
    <x v="1"/>
    <s v="Social"/>
    <x v="1"/>
    <n v="0"/>
    <n v="0"/>
    <n v="0"/>
    <n v="0"/>
    <n v="0"/>
    <n v="0"/>
    <n v="0"/>
    <m/>
    <n v="46"/>
    <n v="1"/>
  </r>
  <r>
    <s v="USR-100357"/>
    <d v="2025-02-16T00:00:00"/>
    <x v="0"/>
    <x v="1"/>
    <x v="1"/>
    <s v="Organic"/>
    <x v="0"/>
    <n v="0"/>
    <n v="0"/>
    <n v="0"/>
    <n v="0"/>
    <n v="0"/>
    <n v="0"/>
    <n v="0"/>
    <m/>
    <n v="50.8"/>
    <n v="1"/>
  </r>
  <r>
    <s v="USR-100358"/>
    <d v="2025-03-19T00:00:00"/>
    <x v="0"/>
    <x v="0"/>
    <x v="2"/>
    <s v="Organic"/>
    <x v="1"/>
    <n v="1"/>
    <n v="1"/>
    <n v="1"/>
    <n v="0"/>
    <n v="0"/>
    <n v="0"/>
    <n v="0"/>
    <m/>
    <n v="52.8"/>
    <n v="1"/>
  </r>
  <r>
    <s v="USR-100359"/>
    <d v="2025-04-21T00:00:00"/>
    <x v="0"/>
    <x v="3"/>
    <x v="1"/>
    <s v="Organic"/>
    <x v="0"/>
    <n v="1"/>
    <n v="1"/>
    <n v="1"/>
    <n v="0"/>
    <n v="0"/>
    <n v="0"/>
    <n v="0"/>
    <m/>
    <n v="63"/>
    <n v="1"/>
  </r>
  <r>
    <s v="USR-100360"/>
    <d v="2025-01-11T00:00:00"/>
    <x v="0"/>
    <x v="1"/>
    <x v="1"/>
    <s v="Organic"/>
    <x v="1"/>
    <n v="0"/>
    <n v="0"/>
    <n v="0"/>
    <n v="0"/>
    <n v="0"/>
    <n v="0"/>
    <n v="0"/>
    <m/>
    <n v="28.4"/>
    <n v="1"/>
  </r>
  <r>
    <s v="USR-100361"/>
    <d v="2025-04-24T00:00:00"/>
    <x v="0"/>
    <x v="1"/>
    <x v="0"/>
    <s v="Organic"/>
    <x v="1"/>
    <n v="1"/>
    <n v="1"/>
    <n v="0"/>
    <n v="0"/>
    <n v="0"/>
    <n v="0"/>
    <n v="0"/>
    <m/>
    <n v="65.599999999999994"/>
    <n v="1"/>
  </r>
  <r>
    <s v="USR-100362"/>
    <d v="2025-03-13T00:00:00"/>
    <x v="0"/>
    <x v="0"/>
    <x v="1"/>
    <s v="Social"/>
    <x v="2"/>
    <n v="1"/>
    <n v="1"/>
    <n v="1"/>
    <n v="0"/>
    <n v="0"/>
    <n v="0"/>
    <n v="0"/>
    <m/>
    <n v="54.7"/>
    <n v="1"/>
  </r>
  <r>
    <s v="USR-100363"/>
    <d v="2025-01-30T00:00:00"/>
    <x v="0"/>
    <x v="0"/>
    <x v="1"/>
    <s v="Social"/>
    <x v="0"/>
    <n v="0"/>
    <n v="0"/>
    <n v="0"/>
    <n v="0"/>
    <n v="0"/>
    <n v="0"/>
    <n v="0"/>
    <m/>
    <n v="36.1"/>
    <n v="1"/>
  </r>
  <r>
    <s v="USR-100364"/>
    <d v="2025-05-08T00:00:00"/>
    <x v="0"/>
    <x v="3"/>
    <x v="1"/>
    <s v="Social"/>
    <x v="0"/>
    <n v="1"/>
    <n v="1"/>
    <n v="1"/>
    <n v="0"/>
    <n v="0"/>
    <n v="0"/>
    <n v="0"/>
    <m/>
    <n v="70.400000000000006"/>
    <n v="1"/>
  </r>
  <r>
    <s v="USR-100365"/>
    <d v="2025-01-08T00:00:00"/>
    <x v="0"/>
    <x v="2"/>
    <x v="0"/>
    <s v="Social"/>
    <x v="1"/>
    <n v="1"/>
    <n v="0"/>
    <n v="0"/>
    <n v="0"/>
    <n v="0"/>
    <n v="0"/>
    <n v="0"/>
    <m/>
    <n v="56.4"/>
    <n v="1"/>
  </r>
  <r>
    <s v="USR-100366"/>
    <d v="2025-05-03T00:00:00"/>
    <x v="0"/>
    <x v="3"/>
    <x v="1"/>
    <s v="Organic"/>
    <x v="1"/>
    <n v="1"/>
    <n v="0"/>
    <n v="0"/>
    <n v="0"/>
    <n v="0"/>
    <n v="0"/>
    <n v="0"/>
    <m/>
    <n v="79.2"/>
    <n v="1"/>
  </r>
  <r>
    <s v="USR-100367"/>
    <d v="2025-02-12T00:00:00"/>
    <x v="0"/>
    <x v="2"/>
    <x v="1"/>
    <s v="Paid Search"/>
    <x v="1"/>
    <n v="1"/>
    <n v="1"/>
    <n v="1"/>
    <n v="0"/>
    <n v="0"/>
    <n v="0"/>
    <n v="0"/>
    <m/>
    <n v="60.1"/>
    <n v="1"/>
  </r>
  <r>
    <s v="USR-100368"/>
    <d v="2025-02-25T00:00:00"/>
    <x v="0"/>
    <x v="3"/>
    <x v="2"/>
    <s v="Organic"/>
    <x v="1"/>
    <n v="0"/>
    <n v="0"/>
    <n v="0"/>
    <n v="0"/>
    <n v="0"/>
    <n v="0"/>
    <n v="0"/>
    <m/>
    <n v="58"/>
    <n v="1"/>
  </r>
  <r>
    <s v="USR-100369"/>
    <d v="2025-04-14T00:00:00"/>
    <x v="0"/>
    <x v="3"/>
    <x v="1"/>
    <s v="Referral"/>
    <x v="1"/>
    <n v="1"/>
    <n v="1"/>
    <n v="1"/>
    <n v="0"/>
    <n v="0"/>
    <n v="0"/>
    <n v="0"/>
    <m/>
    <n v="69"/>
    <n v="1"/>
  </r>
  <r>
    <s v="USR-100370"/>
    <d v="2025-01-08T00:00:00"/>
    <x v="0"/>
    <x v="0"/>
    <x v="1"/>
    <s v="Referral"/>
    <x v="2"/>
    <n v="1"/>
    <n v="1"/>
    <n v="1"/>
    <n v="0"/>
    <n v="0"/>
    <n v="1"/>
    <n v="0"/>
    <m/>
    <n v="80.8"/>
    <n v="1"/>
  </r>
  <r>
    <s v="USR-100371"/>
    <d v="2025-03-14T00:00:00"/>
    <x v="0"/>
    <x v="2"/>
    <x v="1"/>
    <s v="Email"/>
    <x v="1"/>
    <n v="0"/>
    <n v="0"/>
    <n v="0"/>
    <n v="0"/>
    <n v="0"/>
    <n v="0"/>
    <n v="0"/>
    <m/>
    <n v="32.799999999999997"/>
    <n v="1"/>
  </r>
  <r>
    <s v="USR-100372"/>
    <d v="2025-04-29T00:00:00"/>
    <x v="0"/>
    <x v="0"/>
    <x v="0"/>
    <s v="Paid Search"/>
    <x v="2"/>
    <n v="1"/>
    <n v="0"/>
    <n v="0"/>
    <n v="0"/>
    <n v="0"/>
    <n v="0"/>
    <n v="0"/>
    <m/>
    <n v="56"/>
    <n v="1"/>
  </r>
  <r>
    <s v="USR-100373"/>
    <d v="2025-05-01T00:00:00"/>
    <x v="0"/>
    <x v="2"/>
    <x v="0"/>
    <s v="Social"/>
    <x v="1"/>
    <n v="1"/>
    <n v="0"/>
    <n v="0"/>
    <n v="0"/>
    <n v="0"/>
    <n v="0"/>
    <n v="0"/>
    <m/>
    <n v="76.400000000000006"/>
    <n v="1"/>
  </r>
  <r>
    <s v="USR-100374"/>
    <d v="2025-03-19T00:00:00"/>
    <x v="0"/>
    <x v="0"/>
    <x v="1"/>
    <s v="Referral"/>
    <x v="1"/>
    <n v="1"/>
    <n v="0"/>
    <n v="0"/>
    <n v="0"/>
    <n v="0"/>
    <n v="0"/>
    <n v="0"/>
    <m/>
    <n v="28.5"/>
    <n v="1"/>
  </r>
  <r>
    <s v="USR-100375"/>
    <d v="2025-05-01T00:00:00"/>
    <x v="0"/>
    <x v="3"/>
    <x v="0"/>
    <s v="Social"/>
    <x v="0"/>
    <n v="1"/>
    <n v="1"/>
    <n v="1"/>
    <n v="0"/>
    <n v="0"/>
    <n v="0"/>
    <n v="0"/>
    <m/>
    <n v="48.3"/>
    <n v="1"/>
  </r>
  <r>
    <s v="USR-100376"/>
    <d v="2025-03-14T00:00:00"/>
    <x v="0"/>
    <x v="1"/>
    <x v="1"/>
    <s v="Organic"/>
    <x v="1"/>
    <n v="1"/>
    <n v="1"/>
    <n v="0"/>
    <n v="0"/>
    <n v="0"/>
    <n v="0"/>
    <n v="0"/>
    <m/>
    <n v="43.4"/>
    <n v="1"/>
  </r>
  <r>
    <s v="USR-100377"/>
    <d v="2025-03-23T00:00:00"/>
    <x v="0"/>
    <x v="0"/>
    <x v="1"/>
    <s v="Paid Search"/>
    <x v="1"/>
    <n v="0"/>
    <n v="0"/>
    <n v="0"/>
    <n v="0"/>
    <n v="0"/>
    <n v="0"/>
    <n v="0"/>
    <m/>
    <n v="43"/>
    <n v="1"/>
  </r>
  <r>
    <s v="USR-100378"/>
    <d v="2025-02-08T00:00:00"/>
    <x v="0"/>
    <x v="2"/>
    <x v="1"/>
    <s v="Referral"/>
    <x v="0"/>
    <n v="1"/>
    <n v="1"/>
    <n v="1"/>
    <n v="0"/>
    <n v="0"/>
    <n v="0"/>
    <n v="0"/>
    <m/>
    <n v="91.8"/>
    <n v="1"/>
  </r>
  <r>
    <s v="USR-100379"/>
    <d v="2025-04-15T00:00:00"/>
    <x v="0"/>
    <x v="1"/>
    <x v="2"/>
    <s v="Paid Search"/>
    <x v="0"/>
    <n v="1"/>
    <n v="0"/>
    <n v="0"/>
    <n v="0"/>
    <n v="0"/>
    <n v="1"/>
    <n v="0"/>
    <m/>
    <n v="69.3"/>
    <n v="1"/>
  </r>
  <r>
    <s v="USR-100380"/>
    <d v="2025-01-03T00:00:00"/>
    <x v="0"/>
    <x v="3"/>
    <x v="0"/>
    <s v="Paid Search"/>
    <x v="0"/>
    <n v="1"/>
    <n v="0"/>
    <n v="0"/>
    <n v="0"/>
    <n v="0"/>
    <n v="0"/>
    <n v="0"/>
    <m/>
    <n v="58.9"/>
    <n v="1"/>
  </r>
  <r>
    <s v="USR-100381"/>
    <d v="2025-03-23T00:00:00"/>
    <x v="0"/>
    <x v="1"/>
    <x v="1"/>
    <s v="Social"/>
    <x v="1"/>
    <n v="1"/>
    <n v="1"/>
    <n v="1"/>
    <n v="0"/>
    <n v="0"/>
    <n v="0"/>
    <n v="0"/>
    <m/>
    <n v="76"/>
    <n v="1"/>
  </r>
  <r>
    <s v="USR-100382"/>
    <d v="2025-05-27T00:00:00"/>
    <x v="0"/>
    <x v="3"/>
    <x v="1"/>
    <s v="Referral"/>
    <x v="2"/>
    <n v="1"/>
    <n v="0"/>
    <n v="0"/>
    <n v="0"/>
    <n v="0"/>
    <n v="0"/>
    <n v="0"/>
    <m/>
    <n v="46"/>
    <n v="1"/>
  </r>
  <r>
    <s v="USR-100383"/>
    <d v="2025-04-30T00:00:00"/>
    <x v="0"/>
    <x v="2"/>
    <x v="1"/>
    <s v="Organic"/>
    <x v="1"/>
    <n v="1"/>
    <n v="0"/>
    <n v="0"/>
    <n v="0"/>
    <n v="0"/>
    <n v="0"/>
    <n v="0"/>
    <m/>
    <n v="54.1"/>
    <n v="1"/>
  </r>
  <r>
    <s v="USR-100384"/>
    <d v="2025-03-07T00:00:00"/>
    <x v="0"/>
    <x v="1"/>
    <x v="1"/>
    <s v="Social"/>
    <x v="0"/>
    <n v="1"/>
    <n v="0"/>
    <n v="0"/>
    <n v="0"/>
    <n v="0"/>
    <n v="0"/>
    <n v="0"/>
    <m/>
    <n v="82.4"/>
    <n v="1"/>
  </r>
  <r>
    <s v="USR-100385"/>
    <d v="2025-05-10T00:00:00"/>
    <x v="0"/>
    <x v="3"/>
    <x v="1"/>
    <s v="Organic"/>
    <x v="0"/>
    <n v="1"/>
    <n v="1"/>
    <n v="1"/>
    <n v="0"/>
    <n v="0"/>
    <n v="0"/>
    <n v="0"/>
    <m/>
    <n v="71.900000000000006"/>
    <n v="1"/>
  </r>
  <r>
    <s v="USR-100386"/>
    <d v="2025-05-22T00:00:00"/>
    <x v="0"/>
    <x v="2"/>
    <x v="1"/>
    <s v="Organic"/>
    <x v="1"/>
    <n v="0"/>
    <n v="0"/>
    <n v="0"/>
    <n v="0"/>
    <n v="0"/>
    <n v="2"/>
    <n v="0"/>
    <m/>
    <n v="38"/>
    <n v="1"/>
  </r>
  <r>
    <s v="USR-100387"/>
    <d v="2025-02-09T00:00:00"/>
    <x v="0"/>
    <x v="2"/>
    <x v="1"/>
    <s v="Paid Search"/>
    <x v="1"/>
    <n v="1"/>
    <n v="1"/>
    <n v="0"/>
    <n v="0"/>
    <n v="0"/>
    <n v="0"/>
    <n v="0"/>
    <m/>
    <n v="43.7"/>
    <n v="1"/>
  </r>
  <r>
    <s v="USR-100388"/>
    <d v="2025-05-30T00:00:00"/>
    <x v="0"/>
    <x v="1"/>
    <x v="0"/>
    <s v="Organic"/>
    <x v="2"/>
    <n v="1"/>
    <n v="0"/>
    <n v="0"/>
    <n v="0"/>
    <n v="0"/>
    <n v="1"/>
    <n v="0"/>
    <m/>
    <n v="32.200000000000003"/>
    <n v="1"/>
  </r>
  <r>
    <s v="USR-100389"/>
    <d v="2025-05-01T00:00:00"/>
    <x v="0"/>
    <x v="3"/>
    <x v="1"/>
    <s v="Organic"/>
    <x v="2"/>
    <n v="1"/>
    <n v="0"/>
    <n v="0"/>
    <n v="0"/>
    <n v="0"/>
    <n v="0"/>
    <n v="0"/>
    <m/>
    <n v="61"/>
    <n v="1"/>
  </r>
  <r>
    <s v="USR-100390"/>
    <d v="2025-01-03T00:00:00"/>
    <x v="0"/>
    <x v="3"/>
    <x v="1"/>
    <s v="Paid Search"/>
    <x v="1"/>
    <n v="1"/>
    <n v="0"/>
    <n v="0"/>
    <n v="0"/>
    <n v="0"/>
    <n v="0"/>
    <n v="0"/>
    <m/>
    <n v="49"/>
    <n v="1"/>
  </r>
  <r>
    <s v="USR-100391"/>
    <d v="2025-02-13T00:00:00"/>
    <x v="0"/>
    <x v="2"/>
    <x v="1"/>
    <s v="Organic"/>
    <x v="1"/>
    <n v="0"/>
    <n v="0"/>
    <n v="0"/>
    <n v="0"/>
    <n v="0"/>
    <n v="0"/>
    <n v="0"/>
    <m/>
    <n v="48.1"/>
    <n v="1"/>
  </r>
  <r>
    <s v="USR-100392"/>
    <d v="2025-01-14T00:00:00"/>
    <x v="0"/>
    <x v="3"/>
    <x v="0"/>
    <s v="Organic"/>
    <x v="1"/>
    <n v="0"/>
    <n v="0"/>
    <n v="0"/>
    <n v="0"/>
    <n v="0"/>
    <n v="2"/>
    <n v="0"/>
    <m/>
    <n v="46.3"/>
    <n v="1"/>
  </r>
  <r>
    <s v="USR-100393"/>
    <d v="2025-02-24T00:00:00"/>
    <x v="0"/>
    <x v="0"/>
    <x v="1"/>
    <s v="Referral"/>
    <x v="1"/>
    <n v="0"/>
    <n v="0"/>
    <n v="0"/>
    <n v="0"/>
    <n v="0"/>
    <n v="0"/>
    <n v="0"/>
    <m/>
    <n v="64"/>
    <n v="1"/>
  </r>
  <r>
    <s v="USR-100394"/>
    <d v="2025-05-16T00:00:00"/>
    <x v="0"/>
    <x v="1"/>
    <x v="0"/>
    <s v="Organic"/>
    <x v="0"/>
    <n v="1"/>
    <n v="1"/>
    <n v="0"/>
    <n v="0"/>
    <n v="0"/>
    <n v="0"/>
    <n v="0"/>
    <m/>
    <n v="56.2"/>
    <n v="1"/>
  </r>
  <r>
    <s v="USR-100395"/>
    <d v="2025-04-29T00:00:00"/>
    <x v="0"/>
    <x v="0"/>
    <x v="1"/>
    <s v="Paid Search"/>
    <x v="1"/>
    <n v="1"/>
    <n v="1"/>
    <n v="1"/>
    <n v="0"/>
    <n v="0"/>
    <n v="0"/>
    <n v="0"/>
    <m/>
    <n v="77.5"/>
    <n v="1"/>
  </r>
  <r>
    <s v="USR-100396"/>
    <d v="2025-04-30T00:00:00"/>
    <x v="0"/>
    <x v="3"/>
    <x v="0"/>
    <s v="Email"/>
    <x v="0"/>
    <n v="1"/>
    <n v="0"/>
    <n v="0"/>
    <n v="0"/>
    <n v="0"/>
    <n v="0"/>
    <n v="0"/>
    <m/>
    <n v="59.9"/>
    <n v="1"/>
  </r>
  <r>
    <s v="USR-100397"/>
    <d v="2025-01-09T00:00:00"/>
    <x v="0"/>
    <x v="3"/>
    <x v="0"/>
    <s v="Organic"/>
    <x v="1"/>
    <n v="1"/>
    <n v="1"/>
    <n v="0"/>
    <n v="0"/>
    <n v="0"/>
    <n v="0"/>
    <n v="0"/>
    <m/>
    <n v="63"/>
    <n v="1"/>
  </r>
  <r>
    <s v="USR-100398"/>
    <d v="2025-04-25T00:00:00"/>
    <x v="0"/>
    <x v="3"/>
    <x v="1"/>
    <s v="Organic"/>
    <x v="1"/>
    <n v="1"/>
    <n v="1"/>
    <n v="0"/>
    <n v="0"/>
    <n v="0"/>
    <n v="0"/>
    <n v="0"/>
    <m/>
    <n v="76.5"/>
    <n v="1"/>
  </r>
  <r>
    <s v="USR-100399"/>
    <d v="2025-03-12T00:00:00"/>
    <x v="0"/>
    <x v="0"/>
    <x v="0"/>
    <s v="Paid Search"/>
    <x v="1"/>
    <n v="1"/>
    <n v="0"/>
    <n v="0"/>
    <n v="0"/>
    <n v="0"/>
    <n v="0"/>
    <n v="0"/>
    <m/>
    <n v="39.700000000000003"/>
    <n v="1"/>
  </r>
  <r>
    <s v="USR-100400"/>
    <d v="2025-03-20T00:00:00"/>
    <x v="0"/>
    <x v="0"/>
    <x v="1"/>
    <s v="Organic"/>
    <x v="1"/>
    <n v="1"/>
    <n v="1"/>
    <n v="0"/>
    <n v="0"/>
    <n v="0"/>
    <n v="0"/>
    <n v="0"/>
    <m/>
    <n v="80.2"/>
    <n v="1"/>
  </r>
  <r>
    <s v="USR-100401"/>
    <d v="2025-02-18T00:00:00"/>
    <x v="0"/>
    <x v="1"/>
    <x v="1"/>
    <s v="Paid Search"/>
    <x v="1"/>
    <n v="1"/>
    <n v="0"/>
    <n v="0"/>
    <n v="0"/>
    <n v="0"/>
    <n v="0"/>
    <n v="0"/>
    <m/>
    <n v="72.2"/>
    <n v="1"/>
  </r>
  <r>
    <s v="USR-100402"/>
    <d v="2025-01-22T00:00:00"/>
    <x v="0"/>
    <x v="0"/>
    <x v="1"/>
    <s v="Social"/>
    <x v="0"/>
    <n v="0"/>
    <n v="0"/>
    <n v="0"/>
    <n v="0"/>
    <n v="0"/>
    <n v="0"/>
    <n v="0"/>
    <m/>
    <n v="56"/>
    <n v="1"/>
  </r>
  <r>
    <s v="USR-100403"/>
    <d v="2025-02-08T00:00:00"/>
    <x v="0"/>
    <x v="1"/>
    <x v="1"/>
    <s v="Email"/>
    <x v="0"/>
    <n v="1"/>
    <n v="1"/>
    <n v="1"/>
    <n v="0"/>
    <n v="0"/>
    <n v="0"/>
    <n v="0"/>
    <m/>
    <n v="69.099999999999994"/>
    <n v="1"/>
  </r>
  <r>
    <s v="USR-100404"/>
    <d v="2025-01-20T00:00:00"/>
    <x v="0"/>
    <x v="0"/>
    <x v="1"/>
    <s v="Email"/>
    <x v="2"/>
    <n v="0"/>
    <n v="0"/>
    <n v="0"/>
    <n v="0"/>
    <n v="0"/>
    <n v="1"/>
    <n v="0"/>
    <m/>
    <n v="70.599999999999994"/>
    <n v="1"/>
  </r>
  <r>
    <s v="USR-100405"/>
    <d v="2025-04-22T00:00:00"/>
    <x v="0"/>
    <x v="1"/>
    <x v="0"/>
    <s v="Referral"/>
    <x v="1"/>
    <n v="1"/>
    <n v="0"/>
    <n v="0"/>
    <n v="0"/>
    <n v="0"/>
    <n v="0"/>
    <n v="0"/>
    <m/>
    <n v="57.9"/>
    <n v="1"/>
  </r>
  <r>
    <s v="USR-100406"/>
    <d v="2025-01-22T00:00:00"/>
    <x v="0"/>
    <x v="2"/>
    <x v="1"/>
    <s v="Organic"/>
    <x v="0"/>
    <n v="1"/>
    <n v="1"/>
    <n v="0"/>
    <n v="0"/>
    <n v="0"/>
    <n v="0"/>
    <n v="0"/>
    <m/>
    <n v="41.4"/>
    <n v="1"/>
  </r>
  <r>
    <s v="USR-100407"/>
    <d v="2025-05-11T00:00:00"/>
    <x v="0"/>
    <x v="1"/>
    <x v="1"/>
    <s v="Organic"/>
    <x v="0"/>
    <n v="1"/>
    <n v="0"/>
    <n v="0"/>
    <n v="0"/>
    <n v="0"/>
    <n v="0"/>
    <n v="0"/>
    <m/>
    <n v="60.9"/>
    <n v="1"/>
  </r>
  <r>
    <s v="USR-100408"/>
    <d v="2025-02-06T00:00:00"/>
    <x v="0"/>
    <x v="3"/>
    <x v="1"/>
    <s v="Organic"/>
    <x v="0"/>
    <n v="0"/>
    <n v="0"/>
    <n v="0"/>
    <n v="0"/>
    <n v="0"/>
    <n v="1"/>
    <n v="0"/>
    <m/>
    <n v="63.8"/>
    <n v="1"/>
  </r>
  <r>
    <s v="USR-100409"/>
    <d v="2025-02-21T00:00:00"/>
    <x v="0"/>
    <x v="0"/>
    <x v="0"/>
    <s v="Organic"/>
    <x v="2"/>
    <n v="1"/>
    <n v="0"/>
    <n v="0"/>
    <n v="0"/>
    <n v="0"/>
    <n v="0"/>
    <n v="0"/>
    <m/>
    <n v="79.2"/>
    <n v="1"/>
  </r>
  <r>
    <s v="USR-100410"/>
    <d v="2025-01-13T00:00:00"/>
    <x v="0"/>
    <x v="1"/>
    <x v="1"/>
    <s v="Email"/>
    <x v="2"/>
    <n v="1"/>
    <n v="1"/>
    <n v="1"/>
    <n v="0"/>
    <n v="0"/>
    <n v="0"/>
    <n v="0"/>
    <m/>
    <n v="53.3"/>
    <n v="1"/>
  </r>
  <r>
    <s v="USR-100411"/>
    <d v="2025-03-07T00:00:00"/>
    <x v="0"/>
    <x v="0"/>
    <x v="1"/>
    <s v="Referral"/>
    <x v="2"/>
    <n v="1"/>
    <n v="1"/>
    <n v="1"/>
    <n v="1"/>
    <n v="2144.8200000000002"/>
    <n v="0"/>
    <n v="0"/>
    <n v="6"/>
    <n v="52.3"/>
    <n v="1"/>
  </r>
  <r>
    <s v="USR-100412"/>
    <d v="2025-02-26T00:00:00"/>
    <x v="0"/>
    <x v="1"/>
    <x v="0"/>
    <s v="Organic"/>
    <x v="0"/>
    <n v="1"/>
    <n v="1"/>
    <n v="0"/>
    <n v="0"/>
    <n v="0"/>
    <n v="0"/>
    <n v="0"/>
    <m/>
    <n v="62.4"/>
    <n v="1"/>
  </r>
  <r>
    <s v="USR-100413"/>
    <d v="2025-05-05T00:00:00"/>
    <x v="0"/>
    <x v="0"/>
    <x v="1"/>
    <s v="Referral"/>
    <x v="2"/>
    <n v="1"/>
    <n v="0"/>
    <n v="0"/>
    <n v="0"/>
    <n v="0"/>
    <n v="0"/>
    <n v="0"/>
    <m/>
    <n v="45.5"/>
    <n v="1"/>
  </r>
  <r>
    <s v="USR-100414"/>
    <d v="2025-01-08T00:00:00"/>
    <x v="0"/>
    <x v="2"/>
    <x v="0"/>
    <s v="Organic"/>
    <x v="0"/>
    <n v="0"/>
    <n v="0"/>
    <n v="0"/>
    <n v="0"/>
    <n v="0"/>
    <n v="1"/>
    <n v="0"/>
    <m/>
    <n v="72.599999999999994"/>
    <n v="1"/>
  </r>
  <r>
    <s v="USR-100415"/>
    <d v="2025-03-19T00:00:00"/>
    <x v="0"/>
    <x v="3"/>
    <x v="1"/>
    <s v="Email"/>
    <x v="2"/>
    <n v="1"/>
    <n v="1"/>
    <n v="1"/>
    <n v="0"/>
    <n v="0"/>
    <n v="0"/>
    <n v="0"/>
    <m/>
    <n v="50.1"/>
    <n v="1"/>
  </r>
  <r>
    <s v="USR-100416"/>
    <d v="2025-01-30T00:00:00"/>
    <x v="0"/>
    <x v="2"/>
    <x v="0"/>
    <s v="Paid Search"/>
    <x v="1"/>
    <n v="1"/>
    <n v="1"/>
    <n v="1"/>
    <n v="0"/>
    <n v="0"/>
    <n v="2"/>
    <n v="0"/>
    <m/>
    <n v="58.1"/>
    <n v="1"/>
  </r>
  <r>
    <s v="USR-100417"/>
    <d v="2025-04-28T00:00:00"/>
    <x v="0"/>
    <x v="2"/>
    <x v="1"/>
    <s v="Organic"/>
    <x v="0"/>
    <n v="1"/>
    <n v="0"/>
    <n v="0"/>
    <n v="0"/>
    <n v="0"/>
    <n v="0"/>
    <n v="0"/>
    <m/>
    <n v="42.9"/>
    <n v="1"/>
  </r>
  <r>
    <s v="USR-100418"/>
    <d v="2025-03-07T00:00:00"/>
    <x v="0"/>
    <x v="0"/>
    <x v="1"/>
    <s v="Referral"/>
    <x v="0"/>
    <n v="0"/>
    <n v="0"/>
    <n v="0"/>
    <n v="0"/>
    <n v="0"/>
    <n v="0"/>
    <n v="0"/>
    <m/>
    <n v="69.7"/>
    <n v="1"/>
  </r>
  <r>
    <s v="USR-100419"/>
    <d v="2025-04-07T00:00:00"/>
    <x v="0"/>
    <x v="0"/>
    <x v="0"/>
    <s v="Organic"/>
    <x v="1"/>
    <n v="0"/>
    <n v="0"/>
    <n v="0"/>
    <n v="0"/>
    <n v="0"/>
    <n v="0"/>
    <n v="0"/>
    <m/>
    <n v="63.3"/>
    <n v="1"/>
  </r>
  <r>
    <s v="USR-100420"/>
    <d v="2025-05-08T00:00:00"/>
    <x v="0"/>
    <x v="0"/>
    <x v="0"/>
    <s v="Organic"/>
    <x v="2"/>
    <n v="1"/>
    <n v="0"/>
    <n v="0"/>
    <n v="0"/>
    <n v="0"/>
    <n v="0"/>
    <n v="0"/>
    <m/>
    <n v="71.2"/>
    <n v="1"/>
  </r>
  <r>
    <s v="USR-100421"/>
    <d v="2025-04-15T00:00:00"/>
    <x v="0"/>
    <x v="3"/>
    <x v="1"/>
    <s v="Email"/>
    <x v="1"/>
    <n v="1"/>
    <n v="0"/>
    <n v="0"/>
    <n v="0"/>
    <n v="0"/>
    <n v="0"/>
    <n v="0"/>
    <m/>
    <n v="39.1"/>
    <n v="1"/>
  </r>
  <r>
    <s v="USR-100422"/>
    <d v="2025-04-20T00:00:00"/>
    <x v="0"/>
    <x v="2"/>
    <x v="0"/>
    <s v="Social"/>
    <x v="1"/>
    <n v="1"/>
    <n v="0"/>
    <n v="0"/>
    <n v="0"/>
    <n v="0"/>
    <n v="0"/>
    <n v="0"/>
    <m/>
    <n v="42.6"/>
    <n v="1"/>
  </r>
  <r>
    <s v="USR-100423"/>
    <d v="2025-05-30T00:00:00"/>
    <x v="0"/>
    <x v="3"/>
    <x v="2"/>
    <s v="Organic"/>
    <x v="1"/>
    <n v="0"/>
    <n v="0"/>
    <n v="0"/>
    <n v="0"/>
    <n v="0"/>
    <n v="0"/>
    <n v="0"/>
    <m/>
    <n v="74.400000000000006"/>
    <n v="1"/>
  </r>
  <r>
    <s v="USR-100424"/>
    <d v="2025-02-13T00:00:00"/>
    <x v="0"/>
    <x v="1"/>
    <x v="1"/>
    <s v="Referral"/>
    <x v="1"/>
    <n v="0"/>
    <n v="0"/>
    <n v="0"/>
    <n v="0"/>
    <n v="0"/>
    <n v="0"/>
    <n v="0"/>
    <m/>
    <n v="55.6"/>
    <n v="1"/>
  </r>
  <r>
    <s v="USR-100425"/>
    <d v="2025-04-28T00:00:00"/>
    <x v="0"/>
    <x v="1"/>
    <x v="1"/>
    <s v="Social"/>
    <x v="1"/>
    <n v="1"/>
    <n v="0"/>
    <n v="0"/>
    <n v="0"/>
    <n v="0"/>
    <n v="0"/>
    <n v="0"/>
    <m/>
    <n v="35.799999999999997"/>
    <n v="1"/>
  </r>
  <r>
    <s v="USR-100426"/>
    <d v="2025-02-12T00:00:00"/>
    <x v="0"/>
    <x v="0"/>
    <x v="1"/>
    <s v="Paid Search"/>
    <x v="0"/>
    <n v="1"/>
    <n v="0"/>
    <n v="0"/>
    <n v="0"/>
    <n v="0"/>
    <n v="1"/>
    <n v="0"/>
    <m/>
    <n v="28.2"/>
    <n v="1"/>
  </r>
  <r>
    <s v="USR-100427"/>
    <d v="2025-02-12T00:00:00"/>
    <x v="0"/>
    <x v="2"/>
    <x v="1"/>
    <s v="Organic"/>
    <x v="1"/>
    <n v="0"/>
    <n v="0"/>
    <n v="0"/>
    <n v="0"/>
    <n v="0"/>
    <n v="2"/>
    <n v="0"/>
    <m/>
    <n v="44.4"/>
    <n v="1"/>
  </r>
  <r>
    <s v="USR-100428"/>
    <d v="2025-03-27T00:00:00"/>
    <x v="0"/>
    <x v="0"/>
    <x v="1"/>
    <s v="Email"/>
    <x v="2"/>
    <n v="1"/>
    <n v="0"/>
    <n v="0"/>
    <n v="0"/>
    <n v="0"/>
    <n v="0"/>
    <n v="0"/>
    <m/>
    <n v="49.9"/>
    <n v="1"/>
  </r>
  <r>
    <s v="USR-100429"/>
    <d v="2025-04-12T00:00:00"/>
    <x v="0"/>
    <x v="3"/>
    <x v="0"/>
    <s v="Organic"/>
    <x v="1"/>
    <n v="0"/>
    <n v="0"/>
    <n v="0"/>
    <n v="0"/>
    <n v="0"/>
    <n v="0"/>
    <n v="0"/>
    <m/>
    <n v="40.4"/>
    <n v="1"/>
  </r>
  <r>
    <s v="USR-100430"/>
    <d v="2025-01-30T00:00:00"/>
    <x v="0"/>
    <x v="1"/>
    <x v="1"/>
    <s v="Social"/>
    <x v="1"/>
    <n v="0"/>
    <n v="0"/>
    <n v="0"/>
    <n v="0"/>
    <n v="0"/>
    <n v="0"/>
    <n v="0"/>
    <m/>
    <n v="60.4"/>
    <n v="1"/>
  </r>
  <r>
    <s v="USR-100431"/>
    <d v="2025-05-28T00:00:00"/>
    <x v="0"/>
    <x v="1"/>
    <x v="1"/>
    <s v="Social"/>
    <x v="2"/>
    <n v="0"/>
    <n v="0"/>
    <n v="0"/>
    <n v="0"/>
    <n v="0"/>
    <n v="1"/>
    <n v="0"/>
    <m/>
    <n v="52.4"/>
    <n v="1"/>
  </r>
  <r>
    <s v="USR-100432"/>
    <d v="2025-05-01T00:00:00"/>
    <x v="0"/>
    <x v="3"/>
    <x v="1"/>
    <s v="Organic"/>
    <x v="0"/>
    <n v="1"/>
    <n v="1"/>
    <n v="0"/>
    <n v="0"/>
    <n v="0"/>
    <n v="0"/>
    <n v="0"/>
    <m/>
    <n v="48.8"/>
    <n v="1"/>
  </r>
  <r>
    <s v="USR-100433"/>
    <d v="2025-02-03T00:00:00"/>
    <x v="0"/>
    <x v="0"/>
    <x v="2"/>
    <s v="Email"/>
    <x v="0"/>
    <n v="1"/>
    <n v="0"/>
    <n v="0"/>
    <n v="0"/>
    <n v="0"/>
    <n v="0"/>
    <n v="0"/>
    <m/>
    <n v="60.9"/>
    <n v="2"/>
  </r>
  <r>
    <s v="USR-100434"/>
    <d v="2025-01-10T00:00:00"/>
    <x v="0"/>
    <x v="3"/>
    <x v="0"/>
    <s v="Social"/>
    <x v="0"/>
    <n v="0"/>
    <n v="0"/>
    <n v="0"/>
    <n v="0"/>
    <n v="0"/>
    <n v="0"/>
    <n v="0"/>
    <m/>
    <n v="68.2"/>
    <n v="1"/>
  </r>
  <r>
    <s v="USR-100435"/>
    <d v="2025-05-02T00:00:00"/>
    <x v="0"/>
    <x v="0"/>
    <x v="0"/>
    <s v="Organic"/>
    <x v="0"/>
    <n v="1"/>
    <n v="0"/>
    <n v="0"/>
    <n v="0"/>
    <n v="0"/>
    <n v="0"/>
    <n v="0"/>
    <m/>
    <n v="65.599999999999994"/>
    <n v="1"/>
  </r>
  <r>
    <s v="USR-100436"/>
    <d v="2025-05-26T00:00:00"/>
    <x v="0"/>
    <x v="0"/>
    <x v="0"/>
    <s v="Organic"/>
    <x v="0"/>
    <n v="1"/>
    <n v="0"/>
    <n v="0"/>
    <n v="0"/>
    <n v="0"/>
    <n v="0"/>
    <n v="0"/>
    <m/>
    <n v="65.400000000000006"/>
    <n v="1"/>
  </r>
  <r>
    <s v="USR-100437"/>
    <d v="2025-01-12T00:00:00"/>
    <x v="0"/>
    <x v="1"/>
    <x v="1"/>
    <s v="Organic"/>
    <x v="0"/>
    <n v="1"/>
    <n v="0"/>
    <n v="0"/>
    <n v="0"/>
    <n v="0"/>
    <n v="0"/>
    <n v="0"/>
    <m/>
    <n v="78.900000000000006"/>
    <n v="1"/>
  </r>
  <r>
    <s v="USR-100438"/>
    <d v="2025-05-27T00:00:00"/>
    <x v="0"/>
    <x v="2"/>
    <x v="1"/>
    <s v="Paid Search"/>
    <x v="0"/>
    <n v="1"/>
    <n v="1"/>
    <n v="1"/>
    <n v="0"/>
    <n v="0"/>
    <n v="0"/>
    <n v="0"/>
    <m/>
    <n v="78.3"/>
    <n v="1"/>
  </r>
  <r>
    <s v="USR-100439"/>
    <d v="2025-05-22T00:00:00"/>
    <x v="0"/>
    <x v="1"/>
    <x v="0"/>
    <s v="Email"/>
    <x v="0"/>
    <n v="0"/>
    <n v="0"/>
    <n v="0"/>
    <n v="0"/>
    <n v="0"/>
    <n v="0"/>
    <n v="0"/>
    <m/>
    <n v="49.2"/>
    <n v="1"/>
  </r>
  <r>
    <s v="USR-100440"/>
    <d v="2025-04-01T00:00:00"/>
    <x v="0"/>
    <x v="2"/>
    <x v="1"/>
    <s v="Social"/>
    <x v="2"/>
    <n v="1"/>
    <n v="1"/>
    <n v="1"/>
    <n v="1"/>
    <n v="1518.83"/>
    <n v="0"/>
    <n v="0"/>
    <n v="9"/>
    <n v="32.200000000000003"/>
    <n v="1"/>
  </r>
  <r>
    <s v="USR-100441"/>
    <d v="2025-01-22T00:00:00"/>
    <x v="0"/>
    <x v="0"/>
    <x v="1"/>
    <s v="Paid Search"/>
    <x v="0"/>
    <n v="1"/>
    <n v="1"/>
    <n v="1"/>
    <n v="0"/>
    <n v="0"/>
    <n v="0"/>
    <n v="0"/>
    <m/>
    <n v="46.3"/>
    <n v="1"/>
  </r>
  <r>
    <s v="USR-100442"/>
    <d v="2025-05-24T00:00:00"/>
    <x v="0"/>
    <x v="2"/>
    <x v="1"/>
    <s v="Paid Search"/>
    <x v="0"/>
    <n v="1"/>
    <n v="0"/>
    <n v="0"/>
    <n v="0"/>
    <n v="0"/>
    <n v="0"/>
    <n v="0"/>
    <m/>
    <n v="55.7"/>
    <n v="1"/>
  </r>
  <r>
    <s v="USR-100443"/>
    <d v="2025-04-25T00:00:00"/>
    <x v="0"/>
    <x v="3"/>
    <x v="1"/>
    <s v="Social"/>
    <x v="1"/>
    <n v="1"/>
    <n v="0"/>
    <n v="0"/>
    <n v="0"/>
    <n v="0"/>
    <n v="0"/>
    <n v="0"/>
    <m/>
    <n v="44.5"/>
    <n v="1"/>
  </r>
  <r>
    <s v="USR-100444"/>
    <d v="2025-04-12T00:00:00"/>
    <x v="0"/>
    <x v="1"/>
    <x v="0"/>
    <s v="Referral"/>
    <x v="1"/>
    <n v="1"/>
    <n v="1"/>
    <n v="1"/>
    <n v="0"/>
    <n v="0"/>
    <n v="1"/>
    <n v="0"/>
    <m/>
    <n v="47.9"/>
    <n v="1"/>
  </r>
  <r>
    <s v="USR-100445"/>
    <d v="2025-04-23T00:00:00"/>
    <x v="0"/>
    <x v="3"/>
    <x v="1"/>
    <s v="Organic"/>
    <x v="2"/>
    <n v="1"/>
    <n v="0"/>
    <n v="0"/>
    <n v="0"/>
    <n v="0"/>
    <n v="0"/>
    <n v="0"/>
    <m/>
    <n v="43.9"/>
    <n v="1"/>
  </r>
  <r>
    <s v="USR-100446"/>
    <d v="2025-03-30T00:00:00"/>
    <x v="0"/>
    <x v="0"/>
    <x v="0"/>
    <s v="Referral"/>
    <x v="1"/>
    <n v="1"/>
    <n v="1"/>
    <n v="1"/>
    <n v="0"/>
    <n v="0"/>
    <n v="1"/>
    <n v="0"/>
    <m/>
    <n v="67.7"/>
    <n v="1"/>
  </r>
  <r>
    <s v="USR-100447"/>
    <d v="2025-01-18T00:00:00"/>
    <x v="0"/>
    <x v="2"/>
    <x v="1"/>
    <s v="Referral"/>
    <x v="0"/>
    <n v="0"/>
    <n v="0"/>
    <n v="0"/>
    <n v="0"/>
    <n v="0"/>
    <n v="0"/>
    <n v="0"/>
    <m/>
    <n v="43.7"/>
    <n v="1"/>
  </r>
  <r>
    <s v="USR-100448"/>
    <d v="2025-04-09T00:00:00"/>
    <x v="0"/>
    <x v="2"/>
    <x v="1"/>
    <s v="Organic"/>
    <x v="1"/>
    <n v="1"/>
    <n v="0"/>
    <n v="0"/>
    <n v="0"/>
    <n v="0"/>
    <n v="0"/>
    <n v="0"/>
    <m/>
    <n v="68.8"/>
    <n v="1"/>
  </r>
  <r>
    <s v="USR-100449"/>
    <d v="2025-01-11T00:00:00"/>
    <x v="0"/>
    <x v="1"/>
    <x v="1"/>
    <s v="Organic"/>
    <x v="1"/>
    <n v="1"/>
    <n v="1"/>
    <n v="1"/>
    <n v="0"/>
    <n v="0"/>
    <n v="0"/>
    <n v="0"/>
    <m/>
    <n v="59.2"/>
    <n v="1"/>
  </r>
  <r>
    <s v="USR-100450"/>
    <d v="2025-03-05T00:00:00"/>
    <x v="0"/>
    <x v="2"/>
    <x v="1"/>
    <s v="Paid Search"/>
    <x v="1"/>
    <n v="1"/>
    <n v="0"/>
    <n v="0"/>
    <n v="0"/>
    <n v="0"/>
    <n v="0"/>
    <n v="0"/>
    <m/>
    <n v="48.6"/>
    <n v="1"/>
  </r>
  <r>
    <s v="USR-100451"/>
    <d v="2025-02-17T00:00:00"/>
    <x v="0"/>
    <x v="0"/>
    <x v="2"/>
    <s v="Social"/>
    <x v="1"/>
    <n v="1"/>
    <n v="1"/>
    <n v="1"/>
    <n v="0"/>
    <n v="0"/>
    <n v="0"/>
    <n v="0"/>
    <m/>
    <n v="56.9"/>
    <n v="1"/>
  </r>
  <r>
    <s v="USR-100452"/>
    <d v="2025-05-07T00:00:00"/>
    <x v="0"/>
    <x v="0"/>
    <x v="0"/>
    <s v="Paid Search"/>
    <x v="1"/>
    <n v="0"/>
    <n v="0"/>
    <n v="0"/>
    <n v="0"/>
    <n v="0"/>
    <n v="0"/>
    <n v="0"/>
    <m/>
    <n v="55.8"/>
    <n v="1"/>
  </r>
  <r>
    <s v="USR-100453"/>
    <d v="2025-04-10T00:00:00"/>
    <x v="0"/>
    <x v="2"/>
    <x v="1"/>
    <s v="Paid Search"/>
    <x v="2"/>
    <n v="0"/>
    <n v="0"/>
    <n v="0"/>
    <n v="0"/>
    <n v="0"/>
    <n v="0"/>
    <n v="0"/>
    <m/>
    <n v="63.3"/>
    <n v="1"/>
  </r>
  <r>
    <s v="USR-100454"/>
    <d v="2025-04-21T00:00:00"/>
    <x v="0"/>
    <x v="0"/>
    <x v="1"/>
    <s v="Social"/>
    <x v="1"/>
    <n v="1"/>
    <n v="0"/>
    <n v="0"/>
    <n v="0"/>
    <n v="0"/>
    <n v="0"/>
    <n v="0"/>
    <m/>
    <n v="52.2"/>
    <n v="1"/>
  </r>
  <r>
    <s v="USR-100455"/>
    <d v="2025-02-25T00:00:00"/>
    <x v="0"/>
    <x v="3"/>
    <x v="2"/>
    <m/>
    <x v="1"/>
    <n v="0"/>
    <n v="0"/>
    <n v="0"/>
    <n v="0"/>
    <n v="0"/>
    <n v="0"/>
    <n v="0"/>
    <m/>
    <n v="51.5"/>
    <n v="1"/>
  </r>
  <r>
    <s v="USR-100456"/>
    <d v="2025-05-14T00:00:00"/>
    <x v="0"/>
    <x v="2"/>
    <x v="0"/>
    <s v="Organic"/>
    <x v="1"/>
    <n v="0"/>
    <n v="0"/>
    <n v="0"/>
    <n v="0"/>
    <n v="0"/>
    <n v="0"/>
    <n v="0"/>
    <m/>
    <n v="50.3"/>
    <n v="1"/>
  </r>
  <r>
    <s v="USR-100457"/>
    <d v="2025-03-10T00:00:00"/>
    <x v="0"/>
    <x v="0"/>
    <x v="1"/>
    <s v="Email"/>
    <x v="0"/>
    <n v="1"/>
    <n v="0"/>
    <n v="0"/>
    <n v="0"/>
    <n v="0"/>
    <n v="1"/>
    <n v="0"/>
    <m/>
    <n v="35.4"/>
    <n v="1"/>
  </r>
  <r>
    <s v="USR-100458"/>
    <d v="2025-01-31T00:00:00"/>
    <x v="0"/>
    <x v="1"/>
    <x v="0"/>
    <s v="Organic"/>
    <x v="2"/>
    <n v="1"/>
    <n v="0"/>
    <n v="0"/>
    <n v="0"/>
    <n v="0"/>
    <n v="1"/>
    <n v="0"/>
    <m/>
    <n v="54.1"/>
    <n v="1"/>
  </r>
  <r>
    <s v="USR-100459"/>
    <d v="2025-01-17T00:00:00"/>
    <x v="0"/>
    <x v="3"/>
    <x v="1"/>
    <s v="Organic"/>
    <x v="2"/>
    <n v="1"/>
    <n v="0"/>
    <n v="0"/>
    <n v="0"/>
    <n v="0"/>
    <n v="0"/>
    <n v="0"/>
    <m/>
    <n v="56.2"/>
    <n v="1"/>
  </r>
  <r>
    <s v="USR-100460"/>
    <d v="2025-03-12T00:00:00"/>
    <x v="0"/>
    <x v="3"/>
    <x v="1"/>
    <s v="Paid Search"/>
    <x v="1"/>
    <n v="0"/>
    <n v="0"/>
    <n v="0"/>
    <n v="0"/>
    <n v="0"/>
    <n v="3"/>
    <n v="0"/>
    <m/>
    <n v="43.7"/>
    <n v="1"/>
  </r>
  <r>
    <s v="USR-100461"/>
    <d v="2025-02-28T00:00:00"/>
    <x v="0"/>
    <x v="1"/>
    <x v="0"/>
    <s v="Organic"/>
    <x v="2"/>
    <n v="1"/>
    <n v="1"/>
    <n v="0"/>
    <n v="0"/>
    <n v="0"/>
    <n v="0"/>
    <n v="0"/>
    <m/>
    <n v="51.3"/>
    <n v="1"/>
  </r>
  <r>
    <s v="USR-100462"/>
    <d v="2025-05-19T00:00:00"/>
    <x v="0"/>
    <x v="0"/>
    <x v="3"/>
    <s v="Organic"/>
    <x v="0"/>
    <n v="1"/>
    <n v="0"/>
    <n v="0"/>
    <n v="0"/>
    <n v="0"/>
    <n v="0"/>
    <n v="0"/>
    <m/>
    <n v="50.5"/>
    <n v="1"/>
  </r>
  <r>
    <s v="USR-100463"/>
    <d v="2025-02-23T00:00:00"/>
    <x v="0"/>
    <x v="0"/>
    <x v="1"/>
    <s v="Referral"/>
    <x v="0"/>
    <n v="1"/>
    <n v="0"/>
    <n v="0"/>
    <n v="0"/>
    <n v="0"/>
    <n v="0"/>
    <n v="0"/>
    <m/>
    <n v="57.3"/>
    <n v="1"/>
  </r>
  <r>
    <s v="USR-100464"/>
    <d v="2025-02-20T00:00:00"/>
    <x v="0"/>
    <x v="1"/>
    <x v="0"/>
    <s v="Organic"/>
    <x v="1"/>
    <n v="1"/>
    <n v="1"/>
    <n v="1"/>
    <n v="0"/>
    <n v="0"/>
    <n v="0"/>
    <n v="0"/>
    <m/>
    <n v="58.4"/>
    <n v="1"/>
  </r>
  <r>
    <s v="USR-100465"/>
    <d v="2025-04-12T00:00:00"/>
    <x v="0"/>
    <x v="0"/>
    <x v="1"/>
    <m/>
    <x v="1"/>
    <n v="0"/>
    <n v="0"/>
    <n v="0"/>
    <n v="0"/>
    <n v="0"/>
    <n v="0"/>
    <n v="0"/>
    <m/>
    <n v="56.5"/>
    <n v="1"/>
  </r>
  <r>
    <s v="USR-100466"/>
    <d v="2025-01-08T00:00:00"/>
    <x v="0"/>
    <x v="1"/>
    <x v="1"/>
    <s v="Email"/>
    <x v="1"/>
    <n v="0"/>
    <n v="0"/>
    <n v="0"/>
    <n v="0"/>
    <n v="0"/>
    <n v="0"/>
    <n v="0"/>
    <m/>
    <n v="69.599999999999994"/>
    <n v="1"/>
  </r>
  <r>
    <s v="USR-100467"/>
    <d v="2025-02-13T00:00:00"/>
    <x v="0"/>
    <x v="1"/>
    <x v="1"/>
    <s v="Organic"/>
    <x v="0"/>
    <n v="0"/>
    <n v="0"/>
    <n v="0"/>
    <n v="0"/>
    <n v="0"/>
    <n v="0"/>
    <n v="0"/>
    <m/>
    <n v="6.2"/>
    <n v="1"/>
  </r>
  <r>
    <s v="USR-100468"/>
    <d v="2025-05-21T00:00:00"/>
    <x v="0"/>
    <x v="2"/>
    <x v="0"/>
    <s v="Email"/>
    <x v="1"/>
    <n v="1"/>
    <n v="1"/>
    <n v="1"/>
    <n v="0"/>
    <n v="0"/>
    <n v="0"/>
    <n v="0"/>
    <m/>
    <n v="54.3"/>
    <n v="1"/>
  </r>
  <r>
    <s v="USR-100469"/>
    <d v="2025-05-30T00:00:00"/>
    <x v="0"/>
    <x v="0"/>
    <x v="1"/>
    <s v="Organic"/>
    <x v="0"/>
    <n v="0"/>
    <n v="0"/>
    <n v="0"/>
    <n v="0"/>
    <n v="0"/>
    <n v="0"/>
    <n v="0"/>
    <m/>
    <n v="59.8"/>
    <n v="1"/>
  </r>
  <r>
    <s v="USR-100470"/>
    <d v="2025-05-20T00:00:00"/>
    <x v="0"/>
    <x v="1"/>
    <x v="1"/>
    <s v="Paid Search"/>
    <x v="1"/>
    <n v="0"/>
    <n v="0"/>
    <n v="0"/>
    <n v="0"/>
    <n v="0"/>
    <n v="0"/>
    <n v="0"/>
    <m/>
    <n v="58.9"/>
    <n v="1"/>
  </r>
  <r>
    <s v="USR-100471"/>
    <d v="2025-01-09T00:00:00"/>
    <x v="0"/>
    <x v="2"/>
    <x v="0"/>
    <s v="Organic"/>
    <x v="1"/>
    <n v="0"/>
    <n v="0"/>
    <n v="0"/>
    <n v="0"/>
    <n v="0"/>
    <n v="1"/>
    <n v="0"/>
    <m/>
    <n v="52.9"/>
    <n v="1"/>
  </r>
  <r>
    <s v="USR-100472"/>
    <d v="2025-03-07T00:00:00"/>
    <x v="0"/>
    <x v="1"/>
    <x v="1"/>
    <s v="Organic"/>
    <x v="1"/>
    <n v="0"/>
    <n v="0"/>
    <n v="0"/>
    <n v="0"/>
    <n v="0"/>
    <n v="0"/>
    <n v="0"/>
    <m/>
    <n v="67.8"/>
    <n v="1"/>
  </r>
  <r>
    <s v="USR-100473"/>
    <d v="2025-04-23T00:00:00"/>
    <x v="0"/>
    <x v="3"/>
    <x v="1"/>
    <s v="Social"/>
    <x v="1"/>
    <n v="0"/>
    <n v="0"/>
    <n v="0"/>
    <n v="0"/>
    <n v="0"/>
    <n v="0"/>
    <n v="0"/>
    <m/>
    <n v="48.7"/>
    <n v="1"/>
  </r>
  <r>
    <s v="USR-100474"/>
    <d v="2025-03-08T00:00:00"/>
    <x v="0"/>
    <x v="2"/>
    <x v="1"/>
    <s v="Organic"/>
    <x v="0"/>
    <n v="0"/>
    <n v="0"/>
    <n v="0"/>
    <n v="0"/>
    <n v="0"/>
    <n v="0"/>
    <n v="0"/>
    <m/>
    <n v="59"/>
    <n v="1"/>
  </r>
  <r>
    <s v="USR-100475"/>
    <d v="2025-02-14T00:00:00"/>
    <x v="0"/>
    <x v="3"/>
    <x v="1"/>
    <s v="Referral"/>
    <x v="1"/>
    <n v="0"/>
    <n v="0"/>
    <n v="0"/>
    <n v="0"/>
    <n v="0"/>
    <n v="0"/>
    <n v="0"/>
    <m/>
    <n v="63.2"/>
    <n v="1"/>
  </r>
  <r>
    <s v="USR-100476"/>
    <d v="2025-05-17T00:00:00"/>
    <x v="0"/>
    <x v="1"/>
    <x v="1"/>
    <s v="Referral"/>
    <x v="0"/>
    <n v="1"/>
    <n v="0"/>
    <n v="0"/>
    <n v="0"/>
    <n v="0"/>
    <n v="0"/>
    <n v="0"/>
    <m/>
    <n v="68.7"/>
    <n v="1"/>
  </r>
  <r>
    <s v="USR-100477"/>
    <d v="2025-04-25T00:00:00"/>
    <x v="0"/>
    <x v="3"/>
    <x v="1"/>
    <s v="Referral"/>
    <x v="1"/>
    <n v="0"/>
    <n v="0"/>
    <n v="0"/>
    <n v="0"/>
    <n v="0"/>
    <n v="0"/>
    <n v="0"/>
    <m/>
    <n v="52.1"/>
    <n v="1"/>
  </r>
  <r>
    <s v="USR-100478"/>
    <d v="2025-03-04T00:00:00"/>
    <x v="0"/>
    <x v="3"/>
    <x v="0"/>
    <s v="Social"/>
    <x v="0"/>
    <n v="0"/>
    <n v="0"/>
    <n v="0"/>
    <n v="0"/>
    <n v="0"/>
    <n v="0"/>
    <n v="0"/>
    <m/>
    <n v="56.5"/>
    <n v="1"/>
  </r>
  <r>
    <s v="USR-100479"/>
    <d v="2025-03-18T00:00:00"/>
    <x v="0"/>
    <x v="3"/>
    <x v="1"/>
    <s v="Organic"/>
    <x v="1"/>
    <n v="1"/>
    <n v="0"/>
    <n v="0"/>
    <n v="0"/>
    <n v="0"/>
    <n v="0"/>
    <n v="0"/>
    <m/>
    <n v="64.400000000000006"/>
    <n v="1"/>
  </r>
  <r>
    <s v="USR-100480"/>
    <d v="2025-01-30T00:00:00"/>
    <x v="0"/>
    <x v="1"/>
    <x v="1"/>
    <s v="Paid Search"/>
    <x v="2"/>
    <n v="1"/>
    <n v="0"/>
    <n v="0"/>
    <n v="0"/>
    <n v="0"/>
    <n v="0"/>
    <n v="0"/>
    <m/>
    <n v="65.900000000000006"/>
    <n v="1"/>
  </r>
  <r>
    <s v="USR-100481"/>
    <d v="2025-05-20T00:00:00"/>
    <x v="0"/>
    <x v="1"/>
    <x v="2"/>
    <s v="Referral"/>
    <x v="1"/>
    <n v="1"/>
    <n v="1"/>
    <n v="1"/>
    <n v="0"/>
    <n v="0"/>
    <n v="0"/>
    <n v="0"/>
    <m/>
    <n v="100"/>
    <n v="1"/>
  </r>
  <r>
    <s v="USR-100482"/>
    <d v="2025-02-13T00:00:00"/>
    <x v="0"/>
    <x v="0"/>
    <x v="3"/>
    <s v="Organic"/>
    <x v="0"/>
    <n v="1"/>
    <n v="1"/>
    <n v="1"/>
    <n v="0"/>
    <n v="0"/>
    <n v="0"/>
    <n v="0"/>
    <m/>
    <n v="50.4"/>
    <n v="1"/>
  </r>
  <r>
    <s v="USR-100483"/>
    <d v="2025-04-12T00:00:00"/>
    <x v="0"/>
    <x v="1"/>
    <x v="0"/>
    <s v="Organic"/>
    <x v="0"/>
    <n v="0"/>
    <n v="0"/>
    <n v="0"/>
    <n v="0"/>
    <n v="0"/>
    <n v="0"/>
    <n v="0"/>
    <m/>
    <n v="41.5"/>
    <n v="1"/>
  </r>
  <r>
    <s v="USR-100484"/>
    <d v="2025-04-07T00:00:00"/>
    <x v="0"/>
    <x v="0"/>
    <x v="1"/>
    <s v="Email"/>
    <x v="1"/>
    <n v="0"/>
    <n v="0"/>
    <n v="0"/>
    <n v="0"/>
    <n v="0"/>
    <n v="0"/>
    <n v="0"/>
    <m/>
    <n v="86.2"/>
    <n v="1"/>
  </r>
  <r>
    <s v="USR-100485"/>
    <d v="2025-03-12T00:00:00"/>
    <x v="0"/>
    <x v="0"/>
    <x v="0"/>
    <s v="Social"/>
    <x v="1"/>
    <n v="1"/>
    <n v="1"/>
    <n v="1"/>
    <n v="0"/>
    <n v="0"/>
    <n v="2"/>
    <n v="0"/>
    <m/>
    <n v="50.8"/>
    <n v="1"/>
  </r>
  <r>
    <s v="USR-100486"/>
    <d v="2025-02-07T00:00:00"/>
    <x v="0"/>
    <x v="1"/>
    <x v="1"/>
    <s v="Organic"/>
    <x v="1"/>
    <n v="1"/>
    <n v="0"/>
    <n v="0"/>
    <n v="0"/>
    <n v="0"/>
    <n v="0"/>
    <n v="0"/>
    <m/>
    <n v="50.9"/>
    <n v="1"/>
  </r>
  <r>
    <s v="USR-100487"/>
    <d v="2025-05-05T00:00:00"/>
    <x v="0"/>
    <x v="0"/>
    <x v="1"/>
    <s v="Organic"/>
    <x v="2"/>
    <n v="1"/>
    <n v="1"/>
    <n v="0"/>
    <n v="0"/>
    <n v="0"/>
    <n v="0"/>
    <n v="0"/>
    <m/>
    <n v="87.5"/>
    <n v="1"/>
  </r>
  <r>
    <s v="USR-100488"/>
    <d v="2025-03-18T00:00:00"/>
    <x v="0"/>
    <x v="3"/>
    <x v="1"/>
    <s v="Referral"/>
    <x v="1"/>
    <n v="0"/>
    <n v="0"/>
    <n v="0"/>
    <n v="0"/>
    <n v="0"/>
    <n v="0"/>
    <n v="0"/>
    <m/>
    <n v="43.6"/>
    <n v="1"/>
  </r>
  <r>
    <s v="USR-100489"/>
    <d v="2025-01-05T00:00:00"/>
    <x v="0"/>
    <x v="3"/>
    <x v="1"/>
    <s v="Paid Search"/>
    <x v="0"/>
    <n v="1"/>
    <n v="0"/>
    <n v="0"/>
    <n v="0"/>
    <n v="0"/>
    <n v="0"/>
    <n v="0"/>
    <m/>
    <n v="55.5"/>
    <n v="1"/>
  </r>
  <r>
    <s v="USR-100490"/>
    <d v="2025-05-10T00:00:00"/>
    <x v="0"/>
    <x v="3"/>
    <x v="0"/>
    <s v="Referral"/>
    <x v="0"/>
    <n v="0"/>
    <n v="0"/>
    <n v="0"/>
    <n v="0"/>
    <n v="0"/>
    <n v="0"/>
    <n v="0"/>
    <m/>
    <n v="78.599999999999994"/>
    <n v="1"/>
  </r>
  <r>
    <s v="USR-100491"/>
    <d v="2025-01-03T00:00:00"/>
    <x v="0"/>
    <x v="3"/>
    <x v="1"/>
    <s v="Social"/>
    <x v="0"/>
    <n v="1"/>
    <n v="1"/>
    <n v="0"/>
    <n v="0"/>
    <n v="0"/>
    <n v="1"/>
    <n v="0"/>
    <m/>
    <n v="44.3"/>
    <n v="1"/>
  </r>
  <r>
    <s v="USR-100492"/>
    <d v="2025-05-08T00:00:00"/>
    <x v="0"/>
    <x v="3"/>
    <x v="1"/>
    <s v="Paid Search"/>
    <x v="1"/>
    <n v="1"/>
    <n v="1"/>
    <n v="0"/>
    <n v="0"/>
    <n v="0"/>
    <n v="0"/>
    <n v="0"/>
    <m/>
    <n v="45.2"/>
    <n v="1"/>
  </r>
  <r>
    <s v="USR-100493"/>
    <d v="2025-03-05T00:00:00"/>
    <x v="0"/>
    <x v="3"/>
    <x v="0"/>
    <s v="Email"/>
    <x v="0"/>
    <n v="1"/>
    <n v="0"/>
    <n v="0"/>
    <n v="0"/>
    <n v="0"/>
    <n v="2"/>
    <n v="0"/>
    <m/>
    <n v="46.1"/>
    <n v="1"/>
  </r>
  <r>
    <s v="USR-100494"/>
    <d v="2025-02-17T00:00:00"/>
    <x v="0"/>
    <x v="0"/>
    <x v="1"/>
    <s v="Organic"/>
    <x v="2"/>
    <n v="1"/>
    <n v="0"/>
    <n v="0"/>
    <n v="0"/>
    <n v="0"/>
    <n v="0"/>
    <n v="0"/>
    <m/>
    <n v="49.6"/>
    <n v="1"/>
  </r>
  <r>
    <s v="USR-100495"/>
    <d v="2025-01-09T00:00:00"/>
    <x v="0"/>
    <x v="3"/>
    <x v="1"/>
    <s v="Referral"/>
    <x v="0"/>
    <n v="0"/>
    <n v="0"/>
    <n v="0"/>
    <n v="0"/>
    <n v="0"/>
    <n v="0"/>
    <n v="0"/>
    <m/>
    <n v="70.5"/>
    <n v="1"/>
  </r>
  <r>
    <s v="USR-100496"/>
    <d v="2025-05-05T00:00:00"/>
    <x v="0"/>
    <x v="3"/>
    <x v="1"/>
    <s v="Email"/>
    <x v="0"/>
    <n v="0"/>
    <n v="0"/>
    <n v="0"/>
    <n v="0"/>
    <n v="0"/>
    <n v="1"/>
    <n v="0"/>
    <m/>
    <n v="60.8"/>
    <n v="1"/>
  </r>
  <r>
    <s v="USR-100497"/>
    <d v="2025-04-16T00:00:00"/>
    <x v="0"/>
    <x v="2"/>
    <x v="1"/>
    <s v="Email"/>
    <x v="0"/>
    <n v="0"/>
    <n v="0"/>
    <n v="0"/>
    <n v="0"/>
    <n v="0"/>
    <n v="1"/>
    <n v="0"/>
    <m/>
    <n v="50.5"/>
    <n v="1"/>
  </r>
  <r>
    <s v="USR-100498"/>
    <d v="2025-03-02T00:00:00"/>
    <x v="0"/>
    <x v="3"/>
    <x v="0"/>
    <s v="Organic"/>
    <x v="1"/>
    <n v="1"/>
    <n v="0"/>
    <n v="0"/>
    <n v="0"/>
    <n v="0"/>
    <n v="0"/>
    <n v="0"/>
    <m/>
    <n v="54.9"/>
    <n v="1"/>
  </r>
  <r>
    <s v="USR-100499"/>
    <d v="2025-04-14T00:00:00"/>
    <x v="0"/>
    <x v="3"/>
    <x v="1"/>
    <s v="Social"/>
    <x v="2"/>
    <n v="0"/>
    <n v="0"/>
    <n v="0"/>
    <n v="0"/>
    <n v="0"/>
    <n v="0"/>
    <n v="0"/>
    <m/>
    <n v="29.9"/>
    <n v="1"/>
  </r>
  <r>
    <s v="USR-100500"/>
    <d v="2025-02-15T00:00:00"/>
    <x v="0"/>
    <x v="2"/>
    <x v="0"/>
    <s v="Paid Search"/>
    <x v="0"/>
    <n v="0"/>
    <n v="0"/>
    <n v="0"/>
    <n v="0"/>
    <n v="0"/>
    <n v="0"/>
    <n v="0"/>
    <m/>
    <n v="48.3"/>
    <n v="1"/>
  </r>
  <r>
    <s v="USR-100501"/>
    <d v="2025-02-13T00:00:00"/>
    <x v="0"/>
    <x v="1"/>
    <x v="1"/>
    <s v="Social"/>
    <x v="1"/>
    <n v="1"/>
    <n v="1"/>
    <n v="1"/>
    <n v="1"/>
    <n v="513.61"/>
    <n v="0"/>
    <n v="0"/>
    <n v="7"/>
    <n v="41.3"/>
    <n v="1"/>
  </r>
  <r>
    <s v="USR-100502"/>
    <d v="2025-03-06T00:00:00"/>
    <x v="0"/>
    <x v="0"/>
    <x v="1"/>
    <s v="Email"/>
    <x v="1"/>
    <n v="0"/>
    <n v="0"/>
    <n v="0"/>
    <n v="0"/>
    <n v="0"/>
    <n v="0"/>
    <n v="0"/>
    <m/>
    <n v="61.4"/>
    <n v="1"/>
  </r>
  <r>
    <s v="USR-100503"/>
    <d v="2025-02-18T00:00:00"/>
    <x v="0"/>
    <x v="3"/>
    <x v="0"/>
    <s v="Social"/>
    <x v="1"/>
    <n v="0"/>
    <n v="0"/>
    <n v="0"/>
    <n v="0"/>
    <n v="0"/>
    <n v="0"/>
    <n v="0"/>
    <m/>
    <n v="57.8"/>
    <n v="1"/>
  </r>
  <r>
    <s v="USR-100504"/>
    <d v="2025-04-07T00:00:00"/>
    <x v="0"/>
    <x v="0"/>
    <x v="0"/>
    <s v="Organic"/>
    <x v="1"/>
    <n v="0"/>
    <n v="0"/>
    <n v="0"/>
    <n v="0"/>
    <n v="0"/>
    <n v="0"/>
    <n v="0"/>
    <m/>
    <n v="78.2"/>
    <n v="1"/>
  </r>
  <r>
    <s v="USR-100505"/>
    <d v="2025-04-06T00:00:00"/>
    <x v="0"/>
    <x v="0"/>
    <x v="1"/>
    <s v="Referral"/>
    <x v="1"/>
    <n v="0"/>
    <n v="0"/>
    <n v="0"/>
    <n v="0"/>
    <n v="0"/>
    <n v="0"/>
    <n v="0"/>
    <m/>
    <n v="63.8"/>
    <n v="1"/>
  </r>
  <r>
    <s v="USR-100506"/>
    <d v="2025-01-30T00:00:00"/>
    <x v="0"/>
    <x v="0"/>
    <x v="0"/>
    <s v="Social"/>
    <x v="1"/>
    <n v="1"/>
    <n v="0"/>
    <n v="0"/>
    <n v="0"/>
    <n v="0"/>
    <n v="0"/>
    <n v="0"/>
    <m/>
    <n v="56.8"/>
    <n v="1"/>
  </r>
  <r>
    <s v="USR-100507"/>
    <d v="2025-05-13T00:00:00"/>
    <x v="0"/>
    <x v="3"/>
    <x v="0"/>
    <s v="Organic"/>
    <x v="0"/>
    <n v="1"/>
    <n v="1"/>
    <n v="0"/>
    <n v="0"/>
    <n v="0"/>
    <n v="0"/>
    <n v="0"/>
    <m/>
    <n v="59.6"/>
    <n v="1"/>
  </r>
  <r>
    <s v="USR-100508"/>
    <d v="2025-01-20T00:00:00"/>
    <x v="0"/>
    <x v="1"/>
    <x v="1"/>
    <s v="Paid Search"/>
    <x v="2"/>
    <n v="1"/>
    <n v="1"/>
    <n v="0"/>
    <n v="0"/>
    <n v="0"/>
    <n v="0"/>
    <n v="0"/>
    <m/>
    <n v="50"/>
    <n v="1"/>
  </r>
  <r>
    <s v="USR-100509"/>
    <d v="2025-01-30T00:00:00"/>
    <x v="0"/>
    <x v="0"/>
    <x v="2"/>
    <s v="Organic"/>
    <x v="1"/>
    <n v="1"/>
    <n v="0"/>
    <n v="0"/>
    <n v="0"/>
    <n v="0"/>
    <n v="0"/>
    <n v="0"/>
    <m/>
    <n v="35.700000000000003"/>
    <n v="1"/>
  </r>
  <r>
    <s v="USR-100510"/>
    <d v="2025-01-13T00:00:00"/>
    <x v="0"/>
    <x v="3"/>
    <x v="1"/>
    <s v="Organic"/>
    <x v="1"/>
    <n v="0"/>
    <n v="0"/>
    <n v="0"/>
    <n v="0"/>
    <n v="0"/>
    <n v="2"/>
    <n v="0"/>
    <m/>
    <n v="47.2"/>
    <n v="1"/>
  </r>
  <r>
    <s v="USR-100511"/>
    <d v="2025-02-11T00:00:00"/>
    <x v="0"/>
    <x v="0"/>
    <x v="1"/>
    <s v="Social"/>
    <x v="1"/>
    <n v="1"/>
    <n v="1"/>
    <n v="0"/>
    <n v="0"/>
    <n v="0"/>
    <n v="0"/>
    <n v="0"/>
    <m/>
    <n v="56.9"/>
    <n v="1"/>
  </r>
  <r>
    <s v="USR-100512"/>
    <d v="2025-04-15T00:00:00"/>
    <x v="0"/>
    <x v="3"/>
    <x v="1"/>
    <s v="Organic"/>
    <x v="1"/>
    <n v="0"/>
    <n v="0"/>
    <n v="0"/>
    <n v="0"/>
    <n v="0"/>
    <n v="1"/>
    <n v="0"/>
    <m/>
    <n v="57.2"/>
    <n v="1"/>
  </r>
  <r>
    <s v="USR-100513"/>
    <d v="2025-02-13T00:00:00"/>
    <x v="0"/>
    <x v="3"/>
    <x v="1"/>
    <m/>
    <x v="1"/>
    <n v="1"/>
    <n v="1"/>
    <n v="0"/>
    <n v="0"/>
    <n v="0"/>
    <n v="0"/>
    <n v="0"/>
    <m/>
    <n v="31.4"/>
    <n v="1"/>
  </r>
  <r>
    <s v="USR-100514"/>
    <d v="2025-05-09T00:00:00"/>
    <x v="0"/>
    <x v="3"/>
    <x v="0"/>
    <s v="Organic"/>
    <x v="1"/>
    <n v="0"/>
    <n v="0"/>
    <n v="0"/>
    <n v="0"/>
    <n v="0"/>
    <n v="0"/>
    <n v="0"/>
    <m/>
    <n v="71.2"/>
    <n v="1"/>
  </r>
  <r>
    <s v="USR-100515"/>
    <d v="2025-03-10T00:00:00"/>
    <x v="0"/>
    <x v="0"/>
    <x v="1"/>
    <s v="Paid Search"/>
    <x v="1"/>
    <n v="1"/>
    <n v="1"/>
    <n v="1"/>
    <n v="0"/>
    <n v="0"/>
    <n v="1"/>
    <n v="0"/>
    <m/>
    <n v="38.299999999999997"/>
    <n v="1"/>
  </r>
  <r>
    <s v="USR-100516"/>
    <d v="2025-04-01T00:00:00"/>
    <x v="0"/>
    <x v="0"/>
    <x v="1"/>
    <s v="Organic"/>
    <x v="1"/>
    <n v="1"/>
    <n v="1"/>
    <n v="0"/>
    <n v="0"/>
    <n v="0"/>
    <n v="0"/>
    <n v="0"/>
    <m/>
    <n v="63.1"/>
    <n v="1"/>
  </r>
  <r>
    <s v="USR-100517"/>
    <d v="2025-05-15T00:00:00"/>
    <x v="0"/>
    <x v="2"/>
    <x v="1"/>
    <s v="Referral"/>
    <x v="0"/>
    <n v="1"/>
    <n v="0"/>
    <n v="0"/>
    <n v="0"/>
    <n v="0"/>
    <n v="0"/>
    <n v="0"/>
    <m/>
    <n v="59.7"/>
    <n v="1"/>
  </r>
  <r>
    <s v="USR-100518"/>
    <d v="2025-05-04T00:00:00"/>
    <x v="0"/>
    <x v="3"/>
    <x v="0"/>
    <s v="Social"/>
    <x v="2"/>
    <n v="1"/>
    <n v="1"/>
    <n v="1"/>
    <n v="0"/>
    <n v="0"/>
    <n v="0"/>
    <n v="0"/>
    <m/>
    <n v="59.5"/>
    <n v="1"/>
  </r>
  <r>
    <s v="USR-100519"/>
    <d v="2025-05-20T00:00:00"/>
    <x v="0"/>
    <x v="2"/>
    <x v="1"/>
    <s v="Paid Search"/>
    <x v="1"/>
    <n v="0"/>
    <n v="0"/>
    <n v="0"/>
    <n v="0"/>
    <n v="0"/>
    <n v="0"/>
    <n v="0"/>
    <m/>
    <n v="78.8"/>
    <n v="1"/>
  </r>
  <r>
    <s v="USR-100520"/>
    <d v="2025-05-16T00:00:00"/>
    <x v="0"/>
    <x v="1"/>
    <x v="0"/>
    <s v="Referral"/>
    <x v="1"/>
    <n v="0"/>
    <n v="0"/>
    <n v="0"/>
    <n v="0"/>
    <n v="0"/>
    <n v="0"/>
    <n v="0"/>
    <m/>
    <n v="54"/>
    <n v="1"/>
  </r>
  <r>
    <s v="USR-100521"/>
    <d v="2025-03-17T00:00:00"/>
    <x v="0"/>
    <x v="1"/>
    <x v="1"/>
    <s v="Organic"/>
    <x v="1"/>
    <n v="1"/>
    <n v="0"/>
    <n v="0"/>
    <n v="0"/>
    <n v="0"/>
    <n v="0"/>
    <n v="0"/>
    <m/>
    <n v="66.3"/>
    <n v="1"/>
  </r>
  <r>
    <s v="USR-100522"/>
    <d v="2025-01-27T00:00:00"/>
    <x v="0"/>
    <x v="2"/>
    <x v="2"/>
    <s v="Paid Search"/>
    <x v="1"/>
    <n v="1"/>
    <n v="1"/>
    <n v="0"/>
    <n v="0"/>
    <n v="0"/>
    <n v="0"/>
    <n v="0"/>
    <m/>
    <n v="54.7"/>
    <n v="1"/>
  </r>
  <r>
    <s v="USR-100523"/>
    <d v="2025-04-13T00:00:00"/>
    <x v="0"/>
    <x v="3"/>
    <x v="1"/>
    <s v="Organic"/>
    <x v="0"/>
    <n v="1"/>
    <n v="0"/>
    <n v="0"/>
    <n v="0"/>
    <n v="0"/>
    <n v="0"/>
    <n v="0"/>
    <m/>
    <n v="76.7"/>
    <n v="1"/>
  </r>
  <r>
    <s v="USR-100524"/>
    <d v="2025-05-03T00:00:00"/>
    <x v="0"/>
    <x v="3"/>
    <x v="0"/>
    <s v="Email"/>
    <x v="0"/>
    <n v="1"/>
    <n v="0"/>
    <n v="0"/>
    <n v="0"/>
    <n v="0"/>
    <n v="2"/>
    <n v="0"/>
    <m/>
    <n v="47.4"/>
    <n v="1"/>
  </r>
  <r>
    <s v="USR-100525"/>
    <d v="2025-03-30T00:00:00"/>
    <x v="0"/>
    <x v="0"/>
    <x v="1"/>
    <s v="Organic"/>
    <x v="1"/>
    <n v="1"/>
    <n v="1"/>
    <n v="1"/>
    <n v="0"/>
    <n v="0"/>
    <n v="0"/>
    <n v="0"/>
    <m/>
    <n v="81.7"/>
    <n v="1"/>
  </r>
  <r>
    <s v="USR-100526"/>
    <d v="2025-01-01T00:00:00"/>
    <x v="0"/>
    <x v="1"/>
    <x v="1"/>
    <s v="Paid Search"/>
    <x v="0"/>
    <n v="1"/>
    <n v="1"/>
    <n v="1"/>
    <n v="0"/>
    <n v="0"/>
    <n v="0"/>
    <n v="0"/>
    <m/>
    <n v="67.5"/>
    <n v="1"/>
  </r>
  <r>
    <s v="USR-100527"/>
    <d v="2025-02-06T00:00:00"/>
    <x v="0"/>
    <x v="1"/>
    <x v="1"/>
    <s v="Paid Search"/>
    <x v="0"/>
    <n v="1"/>
    <n v="0"/>
    <n v="0"/>
    <n v="0"/>
    <n v="0"/>
    <n v="0"/>
    <n v="0"/>
    <m/>
    <n v="36.799999999999997"/>
    <n v="1"/>
  </r>
  <r>
    <s v="USR-100528"/>
    <d v="2025-02-25T00:00:00"/>
    <x v="0"/>
    <x v="0"/>
    <x v="0"/>
    <s v="Organic"/>
    <x v="1"/>
    <n v="0"/>
    <n v="0"/>
    <n v="0"/>
    <n v="0"/>
    <n v="0"/>
    <n v="0"/>
    <n v="0"/>
    <m/>
    <n v="66.5"/>
    <n v="1"/>
  </r>
  <r>
    <s v="USR-100529"/>
    <d v="2025-05-14T00:00:00"/>
    <x v="0"/>
    <x v="2"/>
    <x v="2"/>
    <s v="Social"/>
    <x v="1"/>
    <n v="1"/>
    <n v="0"/>
    <n v="0"/>
    <n v="0"/>
    <n v="0"/>
    <n v="0"/>
    <n v="0"/>
    <m/>
    <n v="35.4"/>
    <n v="1"/>
  </r>
  <r>
    <s v="USR-100530"/>
    <d v="2025-05-20T00:00:00"/>
    <x v="0"/>
    <x v="3"/>
    <x v="1"/>
    <s v="Organic"/>
    <x v="0"/>
    <n v="0"/>
    <n v="0"/>
    <n v="0"/>
    <n v="0"/>
    <n v="0"/>
    <n v="0"/>
    <n v="0"/>
    <m/>
    <n v="64.3"/>
    <n v="1"/>
  </r>
  <r>
    <s v="USR-100531"/>
    <d v="2025-02-11T00:00:00"/>
    <x v="0"/>
    <x v="3"/>
    <x v="1"/>
    <s v="Organic"/>
    <x v="1"/>
    <n v="0"/>
    <n v="0"/>
    <n v="0"/>
    <n v="0"/>
    <n v="0"/>
    <n v="0"/>
    <n v="0"/>
    <m/>
    <n v="49.1"/>
    <n v="1"/>
  </r>
  <r>
    <s v="USR-100532"/>
    <d v="2025-02-13T00:00:00"/>
    <x v="0"/>
    <x v="1"/>
    <x v="1"/>
    <s v="Organic"/>
    <x v="1"/>
    <n v="1"/>
    <n v="0"/>
    <n v="0"/>
    <n v="0"/>
    <n v="0"/>
    <n v="0"/>
    <n v="0"/>
    <m/>
    <n v="84.3"/>
    <n v="1"/>
  </r>
  <r>
    <s v="USR-100533"/>
    <d v="2025-04-07T00:00:00"/>
    <x v="0"/>
    <x v="3"/>
    <x v="1"/>
    <s v="Paid Search"/>
    <x v="2"/>
    <n v="1"/>
    <n v="0"/>
    <n v="0"/>
    <n v="0"/>
    <n v="0"/>
    <n v="0"/>
    <n v="0"/>
    <m/>
    <n v="65.599999999999994"/>
    <n v="1"/>
  </r>
  <r>
    <s v="USR-100534"/>
    <d v="2025-03-08T00:00:00"/>
    <x v="0"/>
    <x v="2"/>
    <x v="1"/>
    <s v="Email"/>
    <x v="1"/>
    <n v="1"/>
    <n v="0"/>
    <n v="0"/>
    <n v="0"/>
    <n v="0"/>
    <n v="0"/>
    <n v="0"/>
    <m/>
    <n v="47.1"/>
    <n v="1"/>
  </r>
  <r>
    <s v="USR-100535"/>
    <d v="2025-02-16T00:00:00"/>
    <x v="0"/>
    <x v="0"/>
    <x v="0"/>
    <s v="Paid Search"/>
    <x v="1"/>
    <n v="1"/>
    <n v="1"/>
    <n v="1"/>
    <n v="0"/>
    <n v="0"/>
    <n v="0"/>
    <n v="0"/>
    <m/>
    <n v="70"/>
    <n v="1"/>
  </r>
  <r>
    <s v="USR-100536"/>
    <d v="2025-04-28T00:00:00"/>
    <x v="0"/>
    <x v="3"/>
    <x v="1"/>
    <s v="Paid Search"/>
    <x v="2"/>
    <n v="1"/>
    <n v="0"/>
    <n v="0"/>
    <n v="0"/>
    <n v="0"/>
    <n v="0"/>
    <n v="0"/>
    <m/>
    <n v="54.6"/>
    <n v="1"/>
  </r>
  <r>
    <s v="USR-100537"/>
    <d v="2025-03-10T00:00:00"/>
    <x v="0"/>
    <x v="1"/>
    <x v="2"/>
    <s v="Social"/>
    <x v="0"/>
    <n v="1"/>
    <n v="1"/>
    <n v="0"/>
    <n v="0"/>
    <n v="0"/>
    <n v="1"/>
    <n v="0"/>
    <m/>
    <n v="65.2"/>
    <n v="1"/>
  </r>
  <r>
    <s v="USR-100538"/>
    <d v="2025-01-25T00:00:00"/>
    <x v="0"/>
    <x v="2"/>
    <x v="1"/>
    <s v="Social"/>
    <x v="1"/>
    <n v="1"/>
    <n v="0"/>
    <n v="0"/>
    <n v="0"/>
    <n v="0"/>
    <n v="0"/>
    <n v="0"/>
    <m/>
    <n v="65"/>
    <n v="1"/>
  </r>
  <r>
    <s v="USR-100539"/>
    <d v="2025-01-11T00:00:00"/>
    <x v="0"/>
    <x v="1"/>
    <x v="1"/>
    <s v="Paid Search"/>
    <x v="2"/>
    <n v="1"/>
    <n v="1"/>
    <n v="1"/>
    <n v="0"/>
    <n v="0"/>
    <n v="1"/>
    <n v="0"/>
    <m/>
    <n v="42.1"/>
    <n v="1"/>
  </r>
  <r>
    <s v="USR-100540"/>
    <d v="2025-03-31T00:00:00"/>
    <x v="0"/>
    <x v="1"/>
    <x v="2"/>
    <s v="Paid Search"/>
    <x v="1"/>
    <n v="1"/>
    <n v="0"/>
    <n v="0"/>
    <n v="0"/>
    <n v="0"/>
    <n v="0"/>
    <n v="0"/>
    <m/>
    <n v="43.4"/>
    <n v="1"/>
  </r>
  <r>
    <s v="USR-100541"/>
    <d v="2025-05-22T00:00:00"/>
    <x v="0"/>
    <x v="0"/>
    <x v="1"/>
    <s v="Paid Search"/>
    <x v="0"/>
    <n v="1"/>
    <n v="1"/>
    <n v="0"/>
    <n v="0"/>
    <n v="0"/>
    <n v="0"/>
    <n v="0"/>
    <m/>
    <n v="39.9"/>
    <n v="2"/>
  </r>
  <r>
    <s v="USR-100542"/>
    <d v="2025-05-16T00:00:00"/>
    <x v="0"/>
    <x v="0"/>
    <x v="1"/>
    <s v="Referral"/>
    <x v="0"/>
    <n v="0"/>
    <n v="0"/>
    <n v="0"/>
    <n v="0"/>
    <n v="0"/>
    <n v="0"/>
    <n v="0"/>
    <m/>
    <n v="74.099999999999994"/>
    <n v="1"/>
  </r>
  <r>
    <s v="USR-100543"/>
    <d v="2025-04-25T00:00:00"/>
    <x v="0"/>
    <x v="2"/>
    <x v="0"/>
    <s v="Paid Search"/>
    <x v="1"/>
    <n v="1"/>
    <n v="0"/>
    <n v="0"/>
    <n v="0"/>
    <n v="0"/>
    <n v="0"/>
    <n v="0"/>
    <m/>
    <n v="61.4"/>
    <n v="1"/>
  </r>
  <r>
    <s v="USR-100544"/>
    <d v="2025-04-17T00:00:00"/>
    <x v="0"/>
    <x v="2"/>
    <x v="1"/>
    <s v="Social"/>
    <x v="2"/>
    <n v="1"/>
    <n v="1"/>
    <n v="1"/>
    <n v="0"/>
    <n v="0"/>
    <n v="0"/>
    <n v="0"/>
    <m/>
    <n v="76.8"/>
    <n v="1"/>
  </r>
  <r>
    <s v="USR-100545"/>
    <d v="2025-01-01T00:00:00"/>
    <x v="0"/>
    <x v="3"/>
    <x v="0"/>
    <s v="Social"/>
    <x v="0"/>
    <n v="0"/>
    <n v="0"/>
    <n v="0"/>
    <n v="0"/>
    <n v="0"/>
    <n v="0"/>
    <n v="0"/>
    <m/>
    <m/>
    <n v="1"/>
  </r>
  <r>
    <s v="USR-100546"/>
    <d v="2025-03-18T00:00:00"/>
    <x v="0"/>
    <x v="2"/>
    <x v="1"/>
    <s v="Paid Search"/>
    <x v="0"/>
    <n v="1"/>
    <n v="1"/>
    <n v="1"/>
    <n v="0"/>
    <n v="0"/>
    <n v="0"/>
    <n v="0"/>
    <m/>
    <n v="45.3"/>
    <n v="1"/>
  </r>
  <r>
    <s v="USR-100547"/>
    <d v="2025-05-20T00:00:00"/>
    <x v="0"/>
    <x v="0"/>
    <x v="2"/>
    <s v="Paid Search"/>
    <x v="1"/>
    <n v="1"/>
    <n v="0"/>
    <n v="0"/>
    <n v="0"/>
    <n v="0"/>
    <n v="0"/>
    <n v="0"/>
    <m/>
    <n v="41.4"/>
    <n v="1"/>
  </r>
  <r>
    <s v="USR-100548"/>
    <d v="2025-03-16T00:00:00"/>
    <x v="0"/>
    <x v="0"/>
    <x v="1"/>
    <s v="Organic"/>
    <x v="0"/>
    <n v="1"/>
    <n v="0"/>
    <n v="0"/>
    <n v="0"/>
    <n v="0"/>
    <n v="0"/>
    <n v="0"/>
    <m/>
    <n v="37.1"/>
    <n v="1"/>
  </r>
  <r>
    <s v="USR-100549"/>
    <d v="2025-05-30T00:00:00"/>
    <x v="0"/>
    <x v="2"/>
    <x v="0"/>
    <s v="Social"/>
    <x v="1"/>
    <n v="1"/>
    <n v="0"/>
    <n v="0"/>
    <n v="0"/>
    <n v="0"/>
    <n v="0"/>
    <n v="0"/>
    <m/>
    <n v="40.700000000000003"/>
    <n v="1"/>
  </r>
  <r>
    <s v="USR-100550"/>
    <d v="2025-02-20T00:00:00"/>
    <x v="0"/>
    <x v="0"/>
    <x v="1"/>
    <s v="Social"/>
    <x v="2"/>
    <n v="0"/>
    <n v="0"/>
    <n v="0"/>
    <n v="0"/>
    <n v="0"/>
    <n v="2"/>
    <n v="0"/>
    <m/>
    <n v="55.9"/>
    <n v="1"/>
  </r>
  <r>
    <s v="USR-100551"/>
    <d v="2025-02-11T00:00:00"/>
    <x v="0"/>
    <x v="2"/>
    <x v="3"/>
    <s v="Social"/>
    <x v="1"/>
    <n v="1"/>
    <n v="1"/>
    <n v="0"/>
    <n v="0"/>
    <n v="0"/>
    <n v="0"/>
    <n v="0"/>
    <m/>
    <n v="55.8"/>
    <n v="1"/>
  </r>
  <r>
    <s v="USR-100552"/>
    <d v="2025-01-02T00:00:00"/>
    <x v="0"/>
    <x v="3"/>
    <x v="2"/>
    <s v="Referral"/>
    <x v="0"/>
    <n v="1"/>
    <n v="0"/>
    <n v="0"/>
    <n v="0"/>
    <n v="0"/>
    <n v="0"/>
    <n v="0"/>
    <m/>
    <n v="64.3"/>
    <n v="1"/>
  </r>
  <r>
    <s v="USR-100553"/>
    <d v="2025-05-03T00:00:00"/>
    <x v="0"/>
    <x v="0"/>
    <x v="1"/>
    <s v="Organic"/>
    <x v="1"/>
    <n v="0"/>
    <n v="0"/>
    <n v="0"/>
    <n v="0"/>
    <n v="0"/>
    <n v="0"/>
    <n v="0"/>
    <m/>
    <n v="65.400000000000006"/>
    <n v="1"/>
  </r>
  <r>
    <s v="USR-100554"/>
    <d v="2025-02-24T00:00:00"/>
    <x v="0"/>
    <x v="1"/>
    <x v="1"/>
    <s v="Organic"/>
    <x v="1"/>
    <n v="1"/>
    <n v="0"/>
    <n v="0"/>
    <n v="0"/>
    <n v="0"/>
    <n v="0"/>
    <n v="0"/>
    <m/>
    <n v="89.8"/>
    <n v="1"/>
  </r>
  <r>
    <s v="USR-100555"/>
    <d v="2025-02-11T00:00:00"/>
    <x v="0"/>
    <x v="3"/>
    <x v="3"/>
    <s v="Organic"/>
    <x v="1"/>
    <n v="1"/>
    <n v="1"/>
    <n v="1"/>
    <n v="0"/>
    <n v="0"/>
    <n v="0"/>
    <n v="0"/>
    <m/>
    <n v="58.3"/>
    <n v="1"/>
  </r>
  <r>
    <s v="USR-100556"/>
    <d v="2025-05-06T00:00:00"/>
    <x v="0"/>
    <x v="3"/>
    <x v="1"/>
    <s v="Social"/>
    <x v="0"/>
    <n v="1"/>
    <n v="0"/>
    <n v="0"/>
    <n v="0"/>
    <n v="0"/>
    <n v="0"/>
    <n v="0"/>
    <m/>
    <n v="64.400000000000006"/>
    <n v="1"/>
  </r>
  <r>
    <s v="USR-100557"/>
    <d v="2025-05-23T00:00:00"/>
    <x v="0"/>
    <x v="0"/>
    <x v="1"/>
    <s v="Paid Search"/>
    <x v="2"/>
    <n v="0"/>
    <n v="0"/>
    <n v="0"/>
    <n v="0"/>
    <n v="0"/>
    <n v="0"/>
    <n v="0"/>
    <m/>
    <n v="46.2"/>
    <n v="1"/>
  </r>
  <r>
    <s v="USR-100558"/>
    <d v="2025-01-09T00:00:00"/>
    <x v="0"/>
    <x v="0"/>
    <x v="0"/>
    <s v="Paid Search"/>
    <x v="1"/>
    <n v="0"/>
    <n v="0"/>
    <n v="0"/>
    <n v="0"/>
    <n v="0"/>
    <n v="0"/>
    <n v="0"/>
    <m/>
    <n v="78"/>
    <n v="1"/>
  </r>
  <r>
    <s v="USR-100559"/>
    <d v="2025-04-01T00:00:00"/>
    <x v="0"/>
    <x v="0"/>
    <x v="0"/>
    <s v="Organic"/>
    <x v="2"/>
    <n v="1"/>
    <n v="0"/>
    <n v="0"/>
    <n v="0"/>
    <n v="0"/>
    <n v="0"/>
    <n v="0"/>
    <m/>
    <n v="62.3"/>
    <n v="1"/>
  </r>
  <r>
    <s v="USR-100560"/>
    <d v="2025-03-08T00:00:00"/>
    <x v="0"/>
    <x v="0"/>
    <x v="1"/>
    <s v="Organic"/>
    <x v="1"/>
    <n v="1"/>
    <n v="0"/>
    <n v="0"/>
    <n v="0"/>
    <n v="0"/>
    <n v="0"/>
    <n v="0"/>
    <m/>
    <n v="78.8"/>
    <n v="1"/>
  </r>
  <r>
    <s v="USR-100561"/>
    <d v="2025-02-20T00:00:00"/>
    <x v="0"/>
    <x v="0"/>
    <x v="1"/>
    <s v="Social"/>
    <x v="0"/>
    <n v="1"/>
    <n v="0"/>
    <n v="0"/>
    <n v="0"/>
    <n v="0"/>
    <n v="0"/>
    <n v="0"/>
    <m/>
    <n v="25"/>
    <n v="1"/>
  </r>
  <r>
    <s v="USR-100562"/>
    <d v="2025-03-30T00:00:00"/>
    <x v="0"/>
    <x v="2"/>
    <x v="1"/>
    <s v="Social"/>
    <x v="0"/>
    <n v="0"/>
    <n v="0"/>
    <n v="0"/>
    <n v="0"/>
    <n v="0"/>
    <n v="0"/>
    <n v="0"/>
    <m/>
    <n v="53.4"/>
    <n v="1"/>
  </r>
  <r>
    <s v="USR-100563"/>
    <d v="2025-04-10T00:00:00"/>
    <x v="0"/>
    <x v="2"/>
    <x v="0"/>
    <s v="Organic"/>
    <x v="0"/>
    <n v="0"/>
    <n v="0"/>
    <n v="0"/>
    <n v="0"/>
    <n v="0"/>
    <n v="0"/>
    <n v="0"/>
    <m/>
    <n v="40.700000000000003"/>
    <n v="1"/>
  </r>
  <r>
    <s v="USR-100564"/>
    <d v="2025-03-24T00:00:00"/>
    <x v="0"/>
    <x v="2"/>
    <x v="1"/>
    <s v="Organic"/>
    <x v="2"/>
    <n v="1"/>
    <n v="1"/>
    <n v="0"/>
    <n v="0"/>
    <n v="0"/>
    <n v="0"/>
    <n v="0"/>
    <m/>
    <n v="36.700000000000003"/>
    <n v="1"/>
  </r>
  <r>
    <s v="USR-100565"/>
    <d v="2025-05-21T00:00:00"/>
    <x v="0"/>
    <x v="1"/>
    <x v="1"/>
    <s v="Organic"/>
    <x v="0"/>
    <n v="1"/>
    <n v="0"/>
    <n v="0"/>
    <n v="0"/>
    <n v="0"/>
    <n v="1"/>
    <n v="0"/>
    <m/>
    <n v="67.5"/>
    <n v="1"/>
  </r>
  <r>
    <s v="USR-100566"/>
    <d v="2025-03-29T00:00:00"/>
    <x v="0"/>
    <x v="2"/>
    <x v="1"/>
    <s v="Social"/>
    <x v="2"/>
    <n v="1"/>
    <n v="1"/>
    <n v="1"/>
    <n v="0"/>
    <n v="0"/>
    <n v="0"/>
    <n v="0"/>
    <m/>
    <n v="69.900000000000006"/>
    <n v="1"/>
  </r>
  <r>
    <s v="USR-100567"/>
    <d v="2025-02-23T00:00:00"/>
    <x v="0"/>
    <x v="0"/>
    <x v="2"/>
    <s v="Referral"/>
    <x v="0"/>
    <n v="1"/>
    <n v="0"/>
    <n v="0"/>
    <n v="0"/>
    <n v="0"/>
    <n v="0"/>
    <n v="0"/>
    <m/>
    <n v="65.099999999999994"/>
    <n v="1"/>
  </r>
  <r>
    <s v="USR-100568"/>
    <d v="2025-02-16T00:00:00"/>
    <x v="0"/>
    <x v="1"/>
    <x v="1"/>
    <s v="Paid Search"/>
    <x v="2"/>
    <n v="1"/>
    <n v="0"/>
    <n v="0"/>
    <n v="0"/>
    <n v="0"/>
    <n v="0"/>
    <n v="0"/>
    <m/>
    <n v="48.7"/>
    <n v="1"/>
  </r>
  <r>
    <s v="USR-100569"/>
    <d v="2025-02-21T00:00:00"/>
    <x v="0"/>
    <x v="1"/>
    <x v="0"/>
    <s v="Organic"/>
    <x v="0"/>
    <n v="1"/>
    <n v="1"/>
    <n v="0"/>
    <n v="0"/>
    <n v="0"/>
    <n v="0"/>
    <n v="0"/>
    <m/>
    <n v="47.2"/>
    <n v="1"/>
  </r>
  <r>
    <s v="USR-100570"/>
    <d v="2025-01-07T00:00:00"/>
    <x v="0"/>
    <x v="0"/>
    <x v="1"/>
    <s v="Referral"/>
    <x v="1"/>
    <n v="1"/>
    <n v="0"/>
    <n v="0"/>
    <n v="0"/>
    <n v="0"/>
    <n v="2"/>
    <n v="0"/>
    <m/>
    <n v="20.3"/>
    <n v="1"/>
  </r>
  <r>
    <s v="USR-100571"/>
    <d v="2025-03-06T00:00:00"/>
    <x v="0"/>
    <x v="1"/>
    <x v="1"/>
    <s v="Paid Search"/>
    <x v="1"/>
    <n v="0"/>
    <n v="0"/>
    <n v="0"/>
    <n v="0"/>
    <n v="0"/>
    <n v="1"/>
    <n v="0"/>
    <m/>
    <n v="57.8"/>
    <n v="1"/>
  </r>
  <r>
    <s v="USR-100572"/>
    <d v="2025-03-30T00:00:00"/>
    <x v="0"/>
    <x v="2"/>
    <x v="1"/>
    <s v="Email"/>
    <x v="0"/>
    <n v="1"/>
    <n v="0"/>
    <n v="0"/>
    <n v="0"/>
    <n v="0"/>
    <n v="0"/>
    <n v="0"/>
    <m/>
    <n v="78.7"/>
    <n v="1"/>
  </r>
  <r>
    <s v="USR-100573"/>
    <d v="2025-05-31T00:00:00"/>
    <x v="0"/>
    <x v="3"/>
    <x v="0"/>
    <s v="Organic"/>
    <x v="1"/>
    <n v="1"/>
    <n v="0"/>
    <n v="0"/>
    <n v="0"/>
    <n v="0"/>
    <n v="0"/>
    <n v="0"/>
    <m/>
    <n v="63.6"/>
    <n v="1"/>
  </r>
  <r>
    <s v="USR-100574"/>
    <d v="2025-02-20T00:00:00"/>
    <x v="0"/>
    <x v="3"/>
    <x v="1"/>
    <s v="Email"/>
    <x v="1"/>
    <n v="0"/>
    <n v="0"/>
    <n v="0"/>
    <n v="0"/>
    <n v="0"/>
    <n v="2"/>
    <n v="0"/>
    <m/>
    <n v="45.1"/>
    <n v="1"/>
  </r>
  <r>
    <s v="USR-100575"/>
    <d v="2025-01-13T00:00:00"/>
    <x v="0"/>
    <x v="1"/>
    <x v="1"/>
    <s v="Social"/>
    <x v="1"/>
    <n v="0"/>
    <n v="0"/>
    <n v="0"/>
    <n v="0"/>
    <n v="0"/>
    <n v="0"/>
    <n v="0"/>
    <m/>
    <n v="77.5"/>
    <n v="1"/>
  </r>
  <r>
    <s v="USR-100576"/>
    <d v="2025-05-13T00:00:00"/>
    <x v="0"/>
    <x v="2"/>
    <x v="0"/>
    <s v="Paid Search"/>
    <x v="0"/>
    <n v="1"/>
    <n v="1"/>
    <n v="0"/>
    <n v="0"/>
    <n v="0"/>
    <n v="0"/>
    <n v="0"/>
    <m/>
    <n v="58"/>
    <n v="1"/>
  </r>
  <r>
    <s v="USR-100577"/>
    <d v="2025-04-21T00:00:00"/>
    <x v="0"/>
    <x v="3"/>
    <x v="2"/>
    <s v="Organic"/>
    <x v="1"/>
    <n v="1"/>
    <n v="0"/>
    <n v="0"/>
    <n v="0"/>
    <n v="0"/>
    <n v="0"/>
    <n v="0"/>
    <m/>
    <n v="68.099999999999994"/>
    <n v="1"/>
  </r>
  <r>
    <s v="USR-100578"/>
    <d v="2025-03-01T00:00:00"/>
    <x v="0"/>
    <x v="2"/>
    <x v="2"/>
    <s v="Organic"/>
    <x v="2"/>
    <n v="1"/>
    <n v="0"/>
    <n v="0"/>
    <n v="0"/>
    <n v="0"/>
    <n v="0"/>
    <n v="0"/>
    <m/>
    <n v="35.4"/>
    <n v="1"/>
  </r>
  <r>
    <s v="USR-100579"/>
    <d v="2025-03-10T00:00:00"/>
    <x v="0"/>
    <x v="1"/>
    <x v="2"/>
    <s v="Organic"/>
    <x v="1"/>
    <n v="0"/>
    <n v="0"/>
    <n v="0"/>
    <n v="0"/>
    <n v="0"/>
    <n v="0"/>
    <n v="0"/>
    <m/>
    <n v="47"/>
    <n v="1"/>
  </r>
  <r>
    <s v="USR-100580"/>
    <d v="2025-03-08T00:00:00"/>
    <x v="0"/>
    <x v="2"/>
    <x v="0"/>
    <s v="Paid Search"/>
    <x v="1"/>
    <n v="0"/>
    <n v="0"/>
    <n v="0"/>
    <n v="0"/>
    <n v="0"/>
    <n v="0"/>
    <n v="0"/>
    <m/>
    <n v="75"/>
    <n v="1"/>
  </r>
  <r>
    <s v="USR-100581"/>
    <d v="2025-05-26T00:00:00"/>
    <x v="0"/>
    <x v="3"/>
    <x v="0"/>
    <s v="Paid Search"/>
    <x v="1"/>
    <n v="1"/>
    <n v="1"/>
    <n v="1"/>
    <n v="0"/>
    <n v="0"/>
    <n v="3"/>
    <n v="0"/>
    <m/>
    <n v="50.2"/>
    <n v="1"/>
  </r>
  <r>
    <s v="USR-100582"/>
    <d v="2025-05-20T00:00:00"/>
    <x v="0"/>
    <x v="2"/>
    <x v="0"/>
    <s v="Paid Search"/>
    <x v="1"/>
    <n v="1"/>
    <n v="0"/>
    <n v="0"/>
    <n v="0"/>
    <n v="0"/>
    <n v="0"/>
    <n v="0"/>
    <m/>
    <n v="40.1"/>
    <n v="1"/>
  </r>
  <r>
    <s v="USR-100583"/>
    <d v="2025-03-22T00:00:00"/>
    <x v="0"/>
    <x v="1"/>
    <x v="0"/>
    <s v="Paid Search"/>
    <x v="1"/>
    <n v="0"/>
    <n v="0"/>
    <n v="0"/>
    <n v="0"/>
    <n v="0"/>
    <n v="0"/>
    <n v="0"/>
    <m/>
    <n v="61.1"/>
    <n v="1"/>
  </r>
  <r>
    <s v="USR-100584"/>
    <d v="2025-02-15T00:00:00"/>
    <x v="0"/>
    <x v="3"/>
    <x v="0"/>
    <s v="Paid Search"/>
    <x v="1"/>
    <n v="0"/>
    <n v="0"/>
    <n v="0"/>
    <n v="0"/>
    <n v="0"/>
    <n v="0"/>
    <n v="0"/>
    <m/>
    <n v="42.4"/>
    <n v="1"/>
  </r>
  <r>
    <s v="USR-100585"/>
    <d v="2025-01-08T00:00:00"/>
    <x v="0"/>
    <x v="0"/>
    <x v="1"/>
    <s v="Social"/>
    <x v="1"/>
    <n v="0"/>
    <n v="0"/>
    <n v="0"/>
    <n v="0"/>
    <n v="0"/>
    <n v="1"/>
    <n v="0"/>
    <m/>
    <n v="46.6"/>
    <n v="1"/>
  </r>
  <r>
    <s v="USR-100586"/>
    <d v="2025-01-29T00:00:00"/>
    <x v="0"/>
    <x v="3"/>
    <x v="1"/>
    <s v="Organic"/>
    <x v="2"/>
    <n v="1"/>
    <n v="1"/>
    <n v="0"/>
    <n v="0"/>
    <n v="0"/>
    <n v="0"/>
    <n v="0"/>
    <m/>
    <n v="72.099999999999994"/>
    <n v="1"/>
  </r>
  <r>
    <s v="USR-100587"/>
    <d v="2025-05-07T00:00:00"/>
    <x v="0"/>
    <x v="2"/>
    <x v="2"/>
    <s v="Organic"/>
    <x v="1"/>
    <n v="0"/>
    <n v="0"/>
    <n v="0"/>
    <n v="0"/>
    <n v="0"/>
    <n v="0"/>
    <n v="0"/>
    <m/>
    <n v="21.5"/>
    <n v="1"/>
  </r>
  <r>
    <s v="USR-100588"/>
    <d v="2025-03-01T00:00:00"/>
    <x v="0"/>
    <x v="0"/>
    <x v="1"/>
    <s v="Social"/>
    <x v="0"/>
    <n v="1"/>
    <n v="0"/>
    <n v="0"/>
    <n v="0"/>
    <n v="0"/>
    <n v="1"/>
    <n v="0"/>
    <m/>
    <n v="65.400000000000006"/>
    <n v="1"/>
  </r>
  <r>
    <s v="USR-100589"/>
    <d v="2025-04-20T00:00:00"/>
    <x v="0"/>
    <x v="2"/>
    <x v="1"/>
    <s v="Organic"/>
    <x v="1"/>
    <n v="1"/>
    <n v="1"/>
    <n v="0"/>
    <n v="0"/>
    <n v="0"/>
    <n v="0"/>
    <n v="0"/>
    <m/>
    <n v="53.3"/>
    <n v="1"/>
  </r>
  <r>
    <s v="USR-100590"/>
    <d v="2025-01-16T00:00:00"/>
    <x v="0"/>
    <x v="2"/>
    <x v="1"/>
    <s v="Organic"/>
    <x v="2"/>
    <n v="0"/>
    <n v="0"/>
    <n v="0"/>
    <n v="0"/>
    <n v="0"/>
    <n v="2"/>
    <n v="0"/>
    <m/>
    <n v="52.3"/>
    <n v="1"/>
  </r>
  <r>
    <s v="USR-100591"/>
    <d v="2025-04-04T00:00:00"/>
    <x v="0"/>
    <x v="2"/>
    <x v="1"/>
    <s v="Paid Search"/>
    <x v="1"/>
    <n v="1"/>
    <n v="0"/>
    <n v="0"/>
    <n v="0"/>
    <n v="0"/>
    <n v="0"/>
    <n v="0"/>
    <m/>
    <n v="62.5"/>
    <n v="1"/>
  </r>
  <r>
    <s v="USR-100592"/>
    <d v="2025-01-29T00:00:00"/>
    <x v="0"/>
    <x v="0"/>
    <x v="2"/>
    <s v="Social"/>
    <x v="1"/>
    <n v="1"/>
    <n v="0"/>
    <n v="0"/>
    <n v="0"/>
    <n v="0"/>
    <n v="0"/>
    <n v="0"/>
    <m/>
    <n v="69.8"/>
    <n v="1"/>
  </r>
  <r>
    <s v="USR-100593"/>
    <d v="2025-04-19T00:00:00"/>
    <x v="0"/>
    <x v="2"/>
    <x v="1"/>
    <s v="Email"/>
    <x v="1"/>
    <n v="1"/>
    <n v="0"/>
    <n v="0"/>
    <n v="0"/>
    <n v="0"/>
    <n v="0"/>
    <n v="0"/>
    <m/>
    <n v="68.2"/>
    <n v="1"/>
  </r>
  <r>
    <s v="USR-100594"/>
    <d v="2025-03-10T00:00:00"/>
    <x v="0"/>
    <x v="3"/>
    <x v="1"/>
    <s v="Social"/>
    <x v="0"/>
    <n v="1"/>
    <n v="1"/>
    <n v="1"/>
    <n v="1"/>
    <n v="751.73"/>
    <n v="0"/>
    <n v="0"/>
    <n v="6"/>
    <n v="35.200000000000003"/>
    <n v="1"/>
  </r>
  <r>
    <s v="USR-100595"/>
    <d v="2025-05-10T00:00:00"/>
    <x v="0"/>
    <x v="3"/>
    <x v="1"/>
    <s v="Social"/>
    <x v="0"/>
    <n v="0"/>
    <n v="0"/>
    <n v="0"/>
    <n v="0"/>
    <n v="0"/>
    <n v="0"/>
    <n v="0"/>
    <m/>
    <n v="59.3"/>
    <n v="1"/>
  </r>
  <r>
    <s v="USR-100596"/>
    <d v="2025-02-02T00:00:00"/>
    <x v="0"/>
    <x v="0"/>
    <x v="1"/>
    <s v="Social"/>
    <x v="1"/>
    <n v="0"/>
    <n v="0"/>
    <n v="0"/>
    <n v="0"/>
    <n v="0"/>
    <n v="0"/>
    <n v="0"/>
    <m/>
    <n v="68.099999999999994"/>
    <n v="1"/>
  </r>
  <r>
    <s v="USR-100597"/>
    <d v="2025-05-06T00:00:00"/>
    <x v="0"/>
    <x v="0"/>
    <x v="0"/>
    <s v="Organic"/>
    <x v="1"/>
    <n v="1"/>
    <n v="1"/>
    <n v="0"/>
    <n v="0"/>
    <n v="0"/>
    <n v="0"/>
    <n v="0"/>
    <m/>
    <n v="74.8"/>
    <n v="1"/>
  </r>
  <r>
    <s v="USR-100598"/>
    <d v="2025-01-19T00:00:00"/>
    <x v="0"/>
    <x v="1"/>
    <x v="0"/>
    <s v="Organic"/>
    <x v="1"/>
    <n v="1"/>
    <n v="1"/>
    <n v="1"/>
    <n v="0"/>
    <n v="0"/>
    <n v="0"/>
    <n v="0"/>
    <m/>
    <n v="61.7"/>
    <n v="1"/>
  </r>
  <r>
    <s v="USR-100599"/>
    <d v="2025-01-02T00:00:00"/>
    <x v="0"/>
    <x v="0"/>
    <x v="1"/>
    <s v="Organic"/>
    <x v="1"/>
    <n v="1"/>
    <n v="0"/>
    <n v="0"/>
    <n v="0"/>
    <n v="0"/>
    <n v="0"/>
    <n v="0"/>
    <m/>
    <n v="24.3"/>
    <n v="1"/>
  </r>
  <r>
    <s v="USR-100600"/>
    <d v="2025-05-03T00:00:00"/>
    <x v="0"/>
    <x v="3"/>
    <x v="0"/>
    <s v="Paid Search"/>
    <x v="1"/>
    <n v="0"/>
    <n v="0"/>
    <n v="0"/>
    <n v="0"/>
    <n v="0"/>
    <n v="1"/>
    <n v="0"/>
    <m/>
    <n v="61.9"/>
    <n v="1"/>
  </r>
  <r>
    <s v="USR-100601"/>
    <d v="2025-05-27T00:00:00"/>
    <x v="0"/>
    <x v="2"/>
    <x v="0"/>
    <s v="Referral"/>
    <x v="2"/>
    <n v="0"/>
    <n v="0"/>
    <n v="0"/>
    <n v="0"/>
    <n v="0"/>
    <n v="2"/>
    <n v="0"/>
    <m/>
    <n v="41.7"/>
    <n v="1"/>
  </r>
  <r>
    <s v="USR-100602"/>
    <d v="2025-02-09T00:00:00"/>
    <x v="0"/>
    <x v="3"/>
    <x v="0"/>
    <s v="Social"/>
    <x v="1"/>
    <n v="1"/>
    <n v="0"/>
    <n v="0"/>
    <n v="0"/>
    <n v="0"/>
    <n v="0"/>
    <n v="0"/>
    <m/>
    <n v="87.6"/>
    <n v="1"/>
  </r>
  <r>
    <s v="USR-100603"/>
    <d v="2025-05-18T00:00:00"/>
    <x v="0"/>
    <x v="2"/>
    <x v="1"/>
    <s v="Paid Search"/>
    <x v="1"/>
    <n v="1"/>
    <n v="0"/>
    <n v="0"/>
    <n v="0"/>
    <n v="0"/>
    <n v="0"/>
    <n v="0"/>
    <m/>
    <n v="30.8"/>
    <n v="1"/>
  </r>
  <r>
    <s v="USR-100604"/>
    <d v="2025-05-17T00:00:00"/>
    <x v="0"/>
    <x v="0"/>
    <x v="1"/>
    <s v="Email"/>
    <x v="1"/>
    <n v="0"/>
    <n v="0"/>
    <n v="0"/>
    <n v="0"/>
    <n v="0"/>
    <n v="0"/>
    <n v="0"/>
    <m/>
    <n v="54"/>
    <n v="1"/>
  </r>
  <r>
    <s v="USR-100605"/>
    <d v="2025-01-25T00:00:00"/>
    <x v="0"/>
    <x v="2"/>
    <x v="0"/>
    <s v="Referral"/>
    <x v="0"/>
    <n v="1"/>
    <n v="0"/>
    <n v="0"/>
    <n v="0"/>
    <n v="0"/>
    <n v="1"/>
    <n v="0"/>
    <m/>
    <n v="54.5"/>
    <n v="1"/>
  </r>
  <r>
    <s v="USR-100606"/>
    <d v="2025-05-04T00:00:00"/>
    <x v="0"/>
    <x v="1"/>
    <x v="1"/>
    <s v="Paid Search"/>
    <x v="2"/>
    <n v="1"/>
    <n v="1"/>
    <n v="0"/>
    <n v="0"/>
    <n v="0"/>
    <n v="0"/>
    <n v="0"/>
    <m/>
    <n v="61.3"/>
    <n v="1"/>
  </r>
  <r>
    <s v="USR-100607"/>
    <d v="2025-04-14T00:00:00"/>
    <x v="0"/>
    <x v="1"/>
    <x v="1"/>
    <s v="Organic"/>
    <x v="1"/>
    <n v="1"/>
    <n v="0"/>
    <n v="0"/>
    <n v="0"/>
    <n v="0"/>
    <n v="0"/>
    <n v="0"/>
    <m/>
    <n v="62.7"/>
    <n v="1"/>
  </r>
  <r>
    <s v="USR-100608"/>
    <d v="2025-04-18T00:00:00"/>
    <x v="0"/>
    <x v="3"/>
    <x v="1"/>
    <s v="Paid Search"/>
    <x v="1"/>
    <n v="1"/>
    <n v="1"/>
    <n v="0"/>
    <n v="0"/>
    <n v="0"/>
    <n v="0"/>
    <n v="0"/>
    <m/>
    <n v="43.1"/>
    <n v="1"/>
  </r>
  <r>
    <s v="USR-100609"/>
    <d v="2025-02-24T00:00:00"/>
    <x v="0"/>
    <x v="3"/>
    <x v="0"/>
    <s v="Email"/>
    <x v="0"/>
    <n v="0"/>
    <n v="0"/>
    <n v="0"/>
    <n v="0"/>
    <n v="0"/>
    <n v="0"/>
    <n v="0"/>
    <m/>
    <n v="59.9"/>
    <n v="1"/>
  </r>
  <r>
    <s v="USR-100610"/>
    <d v="2025-04-19T00:00:00"/>
    <x v="0"/>
    <x v="0"/>
    <x v="2"/>
    <s v="Paid Search"/>
    <x v="1"/>
    <n v="1"/>
    <n v="1"/>
    <n v="1"/>
    <n v="0"/>
    <n v="0"/>
    <n v="0"/>
    <n v="0"/>
    <m/>
    <n v="55.7"/>
    <n v="1"/>
  </r>
  <r>
    <s v="USR-100611"/>
    <d v="2025-03-07T00:00:00"/>
    <x v="0"/>
    <x v="3"/>
    <x v="0"/>
    <s v="Organic"/>
    <x v="0"/>
    <n v="1"/>
    <n v="0"/>
    <n v="0"/>
    <n v="0"/>
    <n v="0"/>
    <n v="0"/>
    <n v="0"/>
    <m/>
    <n v="37.1"/>
    <n v="1"/>
  </r>
  <r>
    <s v="USR-100612"/>
    <d v="2025-03-09T00:00:00"/>
    <x v="0"/>
    <x v="2"/>
    <x v="1"/>
    <s v="Organic"/>
    <x v="0"/>
    <n v="0"/>
    <n v="0"/>
    <n v="0"/>
    <n v="0"/>
    <n v="0"/>
    <n v="1"/>
    <n v="0"/>
    <m/>
    <n v="46.7"/>
    <n v="1"/>
  </r>
  <r>
    <s v="USR-100613"/>
    <d v="2025-05-01T00:00:00"/>
    <x v="0"/>
    <x v="3"/>
    <x v="0"/>
    <s v="Organic"/>
    <x v="0"/>
    <n v="1"/>
    <n v="0"/>
    <n v="0"/>
    <n v="0"/>
    <n v="0"/>
    <n v="0"/>
    <n v="0"/>
    <m/>
    <n v="54.1"/>
    <n v="1"/>
  </r>
  <r>
    <s v="USR-100614"/>
    <d v="2025-02-09T00:00:00"/>
    <x v="0"/>
    <x v="1"/>
    <x v="0"/>
    <s v="Organic"/>
    <x v="2"/>
    <n v="1"/>
    <n v="1"/>
    <n v="1"/>
    <n v="0"/>
    <n v="0"/>
    <n v="0"/>
    <n v="0"/>
    <m/>
    <n v="56.1"/>
    <n v="1"/>
  </r>
  <r>
    <s v="USR-100615"/>
    <d v="2025-05-22T00:00:00"/>
    <x v="0"/>
    <x v="1"/>
    <x v="1"/>
    <s v="Referral"/>
    <x v="2"/>
    <n v="0"/>
    <n v="0"/>
    <n v="0"/>
    <n v="0"/>
    <n v="0"/>
    <n v="0"/>
    <n v="0"/>
    <m/>
    <n v="23.6"/>
    <n v="1"/>
  </r>
  <r>
    <s v="USR-100616"/>
    <d v="2025-02-11T00:00:00"/>
    <x v="0"/>
    <x v="0"/>
    <x v="1"/>
    <s v="Organic"/>
    <x v="2"/>
    <n v="0"/>
    <n v="0"/>
    <n v="0"/>
    <n v="0"/>
    <n v="0"/>
    <n v="0"/>
    <n v="0"/>
    <m/>
    <n v="54.7"/>
    <n v="1"/>
  </r>
  <r>
    <s v="USR-100617"/>
    <d v="2025-04-12T00:00:00"/>
    <x v="0"/>
    <x v="0"/>
    <x v="1"/>
    <s v="Referral"/>
    <x v="0"/>
    <n v="0"/>
    <n v="0"/>
    <n v="0"/>
    <n v="0"/>
    <n v="0"/>
    <n v="2"/>
    <n v="0"/>
    <m/>
    <n v="50.4"/>
    <n v="1"/>
  </r>
  <r>
    <s v="USR-100618"/>
    <d v="2025-03-01T00:00:00"/>
    <x v="0"/>
    <x v="1"/>
    <x v="1"/>
    <s v="Social"/>
    <x v="1"/>
    <n v="1"/>
    <n v="0"/>
    <n v="0"/>
    <n v="0"/>
    <n v="0"/>
    <n v="0"/>
    <n v="0"/>
    <m/>
    <n v="54.5"/>
    <n v="1"/>
  </r>
  <r>
    <s v="USR-100619"/>
    <d v="2025-03-17T00:00:00"/>
    <x v="0"/>
    <x v="1"/>
    <x v="0"/>
    <s v="Email"/>
    <x v="0"/>
    <n v="0"/>
    <n v="0"/>
    <n v="0"/>
    <n v="0"/>
    <n v="0"/>
    <n v="0"/>
    <n v="0"/>
    <m/>
    <n v="58"/>
    <n v="1"/>
  </r>
  <r>
    <s v="USR-100620"/>
    <d v="2025-01-11T00:00:00"/>
    <x v="0"/>
    <x v="0"/>
    <x v="1"/>
    <s v="Paid Search"/>
    <x v="1"/>
    <n v="0"/>
    <n v="0"/>
    <n v="0"/>
    <n v="0"/>
    <n v="0"/>
    <n v="0"/>
    <n v="0"/>
    <m/>
    <n v="42.9"/>
    <n v="1"/>
  </r>
  <r>
    <s v="USR-100621"/>
    <d v="2025-02-17T00:00:00"/>
    <x v="0"/>
    <x v="3"/>
    <x v="1"/>
    <s v="Social"/>
    <x v="2"/>
    <n v="1"/>
    <n v="0"/>
    <n v="0"/>
    <n v="0"/>
    <n v="0"/>
    <n v="0"/>
    <n v="0"/>
    <m/>
    <n v="51.1"/>
    <n v="1"/>
  </r>
  <r>
    <s v="USR-100622"/>
    <d v="2025-03-25T00:00:00"/>
    <x v="0"/>
    <x v="2"/>
    <x v="1"/>
    <s v="Paid Search"/>
    <x v="0"/>
    <n v="1"/>
    <n v="1"/>
    <n v="0"/>
    <n v="0"/>
    <n v="0"/>
    <n v="0"/>
    <n v="0"/>
    <m/>
    <n v="51.8"/>
    <n v="1"/>
  </r>
  <r>
    <s v="USR-100623"/>
    <d v="2025-05-01T00:00:00"/>
    <x v="0"/>
    <x v="3"/>
    <x v="1"/>
    <s v="Paid Search"/>
    <x v="1"/>
    <n v="0"/>
    <n v="0"/>
    <n v="0"/>
    <n v="0"/>
    <n v="0"/>
    <n v="0"/>
    <n v="0"/>
    <m/>
    <n v="67.7"/>
    <n v="1"/>
  </r>
  <r>
    <s v="USR-100624"/>
    <d v="2025-04-02T00:00:00"/>
    <x v="0"/>
    <x v="2"/>
    <x v="1"/>
    <s v="Organic"/>
    <x v="0"/>
    <n v="0"/>
    <n v="0"/>
    <n v="0"/>
    <n v="0"/>
    <n v="0"/>
    <n v="0"/>
    <n v="0"/>
    <m/>
    <n v="75.8"/>
    <n v="1"/>
  </r>
  <r>
    <s v="USR-100625"/>
    <d v="2025-04-05T00:00:00"/>
    <x v="0"/>
    <x v="2"/>
    <x v="1"/>
    <s v="Email"/>
    <x v="1"/>
    <n v="1"/>
    <n v="1"/>
    <n v="0"/>
    <n v="0"/>
    <n v="0"/>
    <n v="0"/>
    <n v="0"/>
    <m/>
    <n v="72.8"/>
    <n v="1"/>
  </r>
  <r>
    <s v="USR-100626"/>
    <d v="2025-02-24T00:00:00"/>
    <x v="0"/>
    <x v="0"/>
    <x v="0"/>
    <s v="Social"/>
    <x v="1"/>
    <n v="1"/>
    <n v="1"/>
    <n v="0"/>
    <n v="0"/>
    <n v="0"/>
    <n v="0"/>
    <n v="0"/>
    <m/>
    <n v="54.4"/>
    <n v="1"/>
  </r>
  <r>
    <s v="USR-100627"/>
    <d v="2025-01-24T00:00:00"/>
    <x v="0"/>
    <x v="1"/>
    <x v="1"/>
    <s v="Paid Search"/>
    <x v="0"/>
    <n v="1"/>
    <n v="0"/>
    <n v="0"/>
    <n v="0"/>
    <n v="0"/>
    <n v="0"/>
    <n v="0"/>
    <m/>
    <n v="51.8"/>
    <n v="1"/>
  </r>
  <r>
    <s v="USR-100628"/>
    <d v="2025-04-10T00:00:00"/>
    <x v="0"/>
    <x v="3"/>
    <x v="1"/>
    <s v="Paid Search"/>
    <x v="1"/>
    <n v="0"/>
    <n v="0"/>
    <n v="0"/>
    <n v="0"/>
    <n v="0"/>
    <n v="0"/>
    <n v="0"/>
    <m/>
    <n v="40.299999999999997"/>
    <n v="1"/>
  </r>
  <r>
    <s v="USR-100629"/>
    <d v="2025-02-19T00:00:00"/>
    <x v="0"/>
    <x v="3"/>
    <x v="1"/>
    <s v="Referral"/>
    <x v="1"/>
    <n v="1"/>
    <n v="1"/>
    <n v="1"/>
    <n v="0"/>
    <n v="0"/>
    <n v="0"/>
    <n v="0"/>
    <m/>
    <n v="61.7"/>
    <n v="1"/>
  </r>
  <r>
    <s v="USR-100630"/>
    <d v="2025-03-22T00:00:00"/>
    <x v="0"/>
    <x v="0"/>
    <x v="1"/>
    <s v="Social"/>
    <x v="1"/>
    <n v="0"/>
    <n v="0"/>
    <n v="0"/>
    <n v="0"/>
    <n v="0"/>
    <n v="0"/>
    <n v="0"/>
    <m/>
    <n v="45"/>
    <n v="1"/>
  </r>
  <r>
    <s v="USR-100631"/>
    <d v="2025-04-08T00:00:00"/>
    <x v="0"/>
    <x v="2"/>
    <x v="0"/>
    <s v="Organic"/>
    <x v="2"/>
    <n v="1"/>
    <n v="1"/>
    <n v="1"/>
    <n v="0"/>
    <n v="0"/>
    <n v="0"/>
    <n v="0"/>
    <m/>
    <n v="60"/>
    <n v="1"/>
  </r>
  <r>
    <s v="USR-100632"/>
    <d v="2025-03-16T00:00:00"/>
    <x v="0"/>
    <x v="0"/>
    <x v="1"/>
    <s v="Social"/>
    <x v="1"/>
    <n v="1"/>
    <n v="0"/>
    <n v="0"/>
    <n v="0"/>
    <n v="0"/>
    <n v="0"/>
    <n v="0"/>
    <m/>
    <m/>
    <n v="1"/>
  </r>
  <r>
    <s v="USR-100633"/>
    <d v="2025-03-07T00:00:00"/>
    <x v="0"/>
    <x v="2"/>
    <x v="1"/>
    <s v="Paid Search"/>
    <x v="1"/>
    <n v="1"/>
    <n v="0"/>
    <n v="0"/>
    <n v="0"/>
    <n v="0"/>
    <n v="0"/>
    <n v="0"/>
    <m/>
    <n v="55.5"/>
    <n v="1"/>
  </r>
  <r>
    <s v="USR-100634"/>
    <d v="2025-03-16T00:00:00"/>
    <x v="0"/>
    <x v="3"/>
    <x v="1"/>
    <s v="Referral"/>
    <x v="0"/>
    <n v="0"/>
    <n v="0"/>
    <n v="0"/>
    <n v="0"/>
    <n v="0"/>
    <n v="0"/>
    <n v="0"/>
    <m/>
    <n v="51.8"/>
    <n v="1"/>
  </r>
  <r>
    <s v="USR-100635"/>
    <d v="2025-05-26T00:00:00"/>
    <x v="0"/>
    <x v="2"/>
    <x v="1"/>
    <m/>
    <x v="2"/>
    <n v="1"/>
    <n v="0"/>
    <n v="0"/>
    <n v="0"/>
    <n v="0"/>
    <n v="3"/>
    <n v="0"/>
    <m/>
    <n v="56"/>
    <n v="1"/>
  </r>
  <r>
    <s v="USR-100636"/>
    <d v="2025-01-14T00:00:00"/>
    <x v="0"/>
    <x v="1"/>
    <x v="1"/>
    <s v="Organic"/>
    <x v="1"/>
    <n v="0"/>
    <n v="0"/>
    <n v="0"/>
    <n v="0"/>
    <n v="0"/>
    <n v="0"/>
    <n v="0"/>
    <m/>
    <n v="52.5"/>
    <n v="1"/>
  </r>
  <r>
    <s v="USR-100637"/>
    <d v="2025-03-30T00:00:00"/>
    <x v="0"/>
    <x v="1"/>
    <x v="1"/>
    <s v="Paid Search"/>
    <x v="2"/>
    <n v="1"/>
    <n v="0"/>
    <n v="0"/>
    <n v="0"/>
    <n v="0"/>
    <n v="0"/>
    <n v="0"/>
    <m/>
    <n v="42.5"/>
    <n v="1"/>
  </r>
  <r>
    <s v="USR-100638"/>
    <d v="2025-05-12T00:00:00"/>
    <x v="0"/>
    <x v="2"/>
    <x v="0"/>
    <s v="Email"/>
    <x v="1"/>
    <n v="1"/>
    <n v="1"/>
    <n v="1"/>
    <n v="0"/>
    <n v="0"/>
    <n v="0"/>
    <n v="0"/>
    <m/>
    <n v="65.3"/>
    <n v="1"/>
  </r>
  <r>
    <s v="USR-100639"/>
    <d v="2025-05-10T00:00:00"/>
    <x v="0"/>
    <x v="1"/>
    <x v="1"/>
    <s v="Paid Search"/>
    <x v="1"/>
    <n v="0"/>
    <n v="0"/>
    <n v="0"/>
    <n v="0"/>
    <n v="0"/>
    <n v="0"/>
    <n v="0"/>
    <m/>
    <n v="37.6"/>
    <n v="1"/>
  </r>
  <r>
    <s v="USR-100640"/>
    <d v="2025-04-09T00:00:00"/>
    <x v="0"/>
    <x v="2"/>
    <x v="1"/>
    <s v="Social"/>
    <x v="0"/>
    <n v="0"/>
    <n v="0"/>
    <n v="0"/>
    <n v="0"/>
    <n v="0"/>
    <n v="0"/>
    <n v="0"/>
    <m/>
    <n v="57.8"/>
    <n v="1"/>
  </r>
  <r>
    <s v="USR-100641"/>
    <d v="2025-05-26T00:00:00"/>
    <x v="0"/>
    <x v="0"/>
    <x v="1"/>
    <s v="Social"/>
    <x v="1"/>
    <n v="1"/>
    <n v="0"/>
    <n v="0"/>
    <n v="0"/>
    <n v="0"/>
    <n v="0"/>
    <n v="0"/>
    <m/>
    <n v="52.7"/>
    <n v="1"/>
  </r>
  <r>
    <s v="USR-100642"/>
    <d v="2025-02-12T00:00:00"/>
    <x v="0"/>
    <x v="0"/>
    <x v="1"/>
    <s v="Organic"/>
    <x v="1"/>
    <n v="1"/>
    <n v="0"/>
    <n v="0"/>
    <n v="0"/>
    <n v="0"/>
    <n v="0"/>
    <n v="0"/>
    <m/>
    <n v="51.7"/>
    <n v="1"/>
  </r>
  <r>
    <s v="USR-100643"/>
    <d v="2025-04-01T00:00:00"/>
    <x v="0"/>
    <x v="0"/>
    <x v="0"/>
    <s v="Email"/>
    <x v="0"/>
    <n v="0"/>
    <n v="0"/>
    <n v="0"/>
    <n v="0"/>
    <n v="0"/>
    <n v="0"/>
    <n v="0"/>
    <m/>
    <n v="57"/>
    <n v="1"/>
  </r>
  <r>
    <s v="USR-100644"/>
    <d v="2025-01-18T00:00:00"/>
    <x v="0"/>
    <x v="3"/>
    <x v="0"/>
    <s v="Organic"/>
    <x v="0"/>
    <n v="0"/>
    <n v="0"/>
    <n v="0"/>
    <n v="0"/>
    <n v="0"/>
    <n v="0"/>
    <n v="0"/>
    <m/>
    <n v="39.5"/>
    <n v="1"/>
  </r>
  <r>
    <s v="USR-100645"/>
    <d v="2025-04-06T00:00:00"/>
    <x v="0"/>
    <x v="2"/>
    <x v="2"/>
    <s v="Organic"/>
    <x v="1"/>
    <n v="1"/>
    <n v="0"/>
    <n v="0"/>
    <n v="0"/>
    <n v="0"/>
    <n v="0"/>
    <n v="0"/>
    <m/>
    <n v="76.5"/>
    <n v="1"/>
  </r>
  <r>
    <s v="USR-100646"/>
    <d v="2025-04-17T00:00:00"/>
    <x v="0"/>
    <x v="2"/>
    <x v="1"/>
    <s v="Organic"/>
    <x v="1"/>
    <n v="1"/>
    <n v="0"/>
    <n v="0"/>
    <n v="0"/>
    <n v="0"/>
    <n v="0"/>
    <n v="0"/>
    <m/>
    <n v="32.4"/>
    <n v="1"/>
  </r>
  <r>
    <s v="USR-100647"/>
    <d v="2025-02-07T00:00:00"/>
    <x v="0"/>
    <x v="0"/>
    <x v="0"/>
    <s v="Paid Search"/>
    <x v="1"/>
    <n v="0"/>
    <n v="0"/>
    <n v="0"/>
    <n v="0"/>
    <n v="0"/>
    <n v="0"/>
    <n v="0"/>
    <m/>
    <n v="58.6"/>
    <n v="1"/>
  </r>
  <r>
    <s v="USR-100648"/>
    <d v="2025-03-04T00:00:00"/>
    <x v="0"/>
    <x v="2"/>
    <x v="1"/>
    <s v="Organic"/>
    <x v="0"/>
    <n v="1"/>
    <n v="0"/>
    <n v="0"/>
    <n v="0"/>
    <n v="0"/>
    <n v="0"/>
    <n v="0"/>
    <m/>
    <n v="78.599999999999994"/>
    <n v="1"/>
  </r>
  <r>
    <s v="USR-100649"/>
    <d v="2025-02-17T00:00:00"/>
    <x v="0"/>
    <x v="0"/>
    <x v="0"/>
    <s v="Organic"/>
    <x v="2"/>
    <n v="0"/>
    <n v="0"/>
    <n v="0"/>
    <n v="0"/>
    <n v="0"/>
    <n v="0"/>
    <n v="0"/>
    <m/>
    <n v="54.5"/>
    <n v="1"/>
  </r>
  <r>
    <s v="USR-100650"/>
    <d v="2025-05-06T00:00:00"/>
    <x v="0"/>
    <x v="3"/>
    <x v="1"/>
    <s v="Referral"/>
    <x v="1"/>
    <n v="1"/>
    <n v="0"/>
    <n v="0"/>
    <n v="0"/>
    <n v="0"/>
    <n v="0"/>
    <n v="0"/>
    <m/>
    <n v="57.6"/>
    <n v="1"/>
  </r>
  <r>
    <s v="USR-100651"/>
    <d v="2025-03-25T00:00:00"/>
    <x v="0"/>
    <x v="3"/>
    <x v="1"/>
    <s v="Referral"/>
    <x v="2"/>
    <n v="0"/>
    <n v="0"/>
    <n v="0"/>
    <n v="0"/>
    <n v="0"/>
    <n v="0"/>
    <n v="0"/>
    <m/>
    <n v="52.8"/>
    <n v="1"/>
  </r>
  <r>
    <s v="USR-100652"/>
    <d v="2025-03-04T00:00:00"/>
    <x v="0"/>
    <x v="1"/>
    <x v="1"/>
    <s v="Email"/>
    <x v="2"/>
    <n v="1"/>
    <n v="0"/>
    <n v="0"/>
    <n v="0"/>
    <n v="0"/>
    <n v="0"/>
    <n v="0"/>
    <m/>
    <n v="52.9"/>
    <n v="1"/>
  </r>
  <r>
    <s v="USR-100653"/>
    <d v="2025-05-09T00:00:00"/>
    <x v="0"/>
    <x v="1"/>
    <x v="1"/>
    <s v="Organic"/>
    <x v="1"/>
    <n v="1"/>
    <n v="0"/>
    <n v="0"/>
    <n v="0"/>
    <n v="0"/>
    <n v="1"/>
    <n v="0"/>
    <m/>
    <n v="55.9"/>
    <n v="1"/>
  </r>
  <r>
    <s v="USR-100654"/>
    <d v="2025-05-17T00:00:00"/>
    <x v="0"/>
    <x v="1"/>
    <x v="1"/>
    <s v="Referral"/>
    <x v="2"/>
    <n v="1"/>
    <n v="0"/>
    <n v="0"/>
    <n v="0"/>
    <n v="0"/>
    <n v="0"/>
    <n v="0"/>
    <m/>
    <n v="74.2"/>
    <n v="1"/>
  </r>
  <r>
    <s v="USR-100655"/>
    <d v="2025-01-12T00:00:00"/>
    <x v="0"/>
    <x v="1"/>
    <x v="1"/>
    <s v="Organic"/>
    <x v="1"/>
    <n v="0"/>
    <n v="0"/>
    <n v="0"/>
    <n v="0"/>
    <n v="0"/>
    <n v="0"/>
    <n v="0"/>
    <m/>
    <n v="46.3"/>
    <n v="1"/>
  </r>
  <r>
    <s v="USR-100656"/>
    <d v="2025-03-12T00:00:00"/>
    <x v="0"/>
    <x v="1"/>
    <x v="1"/>
    <s v="Organic"/>
    <x v="2"/>
    <n v="1"/>
    <n v="0"/>
    <n v="0"/>
    <n v="0"/>
    <n v="0"/>
    <n v="0"/>
    <n v="0"/>
    <m/>
    <n v="62"/>
    <n v="1"/>
  </r>
  <r>
    <s v="USR-100657"/>
    <d v="2025-04-02T00:00:00"/>
    <x v="0"/>
    <x v="3"/>
    <x v="1"/>
    <s v="Organic"/>
    <x v="0"/>
    <n v="0"/>
    <n v="0"/>
    <n v="0"/>
    <n v="0"/>
    <n v="0"/>
    <n v="0"/>
    <n v="0"/>
    <m/>
    <n v="55.6"/>
    <n v="1"/>
  </r>
  <r>
    <s v="USR-100658"/>
    <d v="2025-01-13T00:00:00"/>
    <x v="0"/>
    <x v="3"/>
    <x v="1"/>
    <s v="Organic"/>
    <x v="0"/>
    <n v="1"/>
    <n v="0"/>
    <n v="0"/>
    <n v="0"/>
    <n v="0"/>
    <n v="0"/>
    <n v="0"/>
    <m/>
    <n v="62.8"/>
    <n v="1"/>
  </r>
  <r>
    <s v="USR-100659"/>
    <d v="2025-03-07T00:00:00"/>
    <x v="0"/>
    <x v="2"/>
    <x v="1"/>
    <s v="Referral"/>
    <x v="1"/>
    <n v="0"/>
    <n v="0"/>
    <n v="0"/>
    <n v="0"/>
    <n v="0"/>
    <n v="0"/>
    <n v="0"/>
    <m/>
    <n v="73.099999999999994"/>
    <n v="1"/>
  </r>
  <r>
    <s v="USR-100660"/>
    <d v="2025-04-20T00:00:00"/>
    <x v="0"/>
    <x v="3"/>
    <x v="0"/>
    <s v="Social"/>
    <x v="1"/>
    <n v="1"/>
    <n v="1"/>
    <n v="1"/>
    <n v="1"/>
    <n v="347.52"/>
    <n v="0"/>
    <n v="0"/>
    <n v="2"/>
    <n v="57.2"/>
    <n v="1"/>
  </r>
  <r>
    <s v="USR-100661"/>
    <d v="2025-01-07T00:00:00"/>
    <x v="0"/>
    <x v="3"/>
    <x v="1"/>
    <s v="Paid Search"/>
    <x v="1"/>
    <n v="1"/>
    <n v="0"/>
    <n v="0"/>
    <n v="0"/>
    <n v="0"/>
    <n v="0"/>
    <n v="0"/>
    <m/>
    <n v="67.900000000000006"/>
    <n v="1"/>
  </r>
  <r>
    <s v="USR-100662"/>
    <d v="2025-04-23T00:00:00"/>
    <x v="0"/>
    <x v="3"/>
    <x v="1"/>
    <s v="Referral"/>
    <x v="1"/>
    <n v="0"/>
    <n v="0"/>
    <n v="0"/>
    <n v="0"/>
    <n v="0"/>
    <n v="0"/>
    <n v="0"/>
    <m/>
    <n v="50.1"/>
    <n v="1"/>
  </r>
  <r>
    <s v="USR-100663"/>
    <d v="2025-05-26T00:00:00"/>
    <x v="0"/>
    <x v="0"/>
    <x v="1"/>
    <s v="Paid Search"/>
    <x v="0"/>
    <n v="0"/>
    <n v="0"/>
    <n v="0"/>
    <n v="0"/>
    <n v="0"/>
    <n v="0"/>
    <n v="0"/>
    <m/>
    <n v="67.8"/>
    <n v="1"/>
  </r>
  <r>
    <s v="USR-100664"/>
    <d v="2025-03-17T00:00:00"/>
    <x v="0"/>
    <x v="0"/>
    <x v="0"/>
    <s v="Social"/>
    <x v="0"/>
    <n v="1"/>
    <n v="1"/>
    <n v="1"/>
    <n v="0"/>
    <n v="0"/>
    <n v="0"/>
    <n v="0"/>
    <m/>
    <n v="60.8"/>
    <n v="1"/>
  </r>
  <r>
    <s v="USR-100665"/>
    <d v="2025-05-17T00:00:00"/>
    <x v="0"/>
    <x v="0"/>
    <x v="0"/>
    <s v="Paid Search"/>
    <x v="0"/>
    <n v="1"/>
    <n v="0"/>
    <n v="0"/>
    <n v="0"/>
    <n v="0"/>
    <n v="3"/>
    <n v="0"/>
    <m/>
    <n v="33.700000000000003"/>
    <n v="1"/>
  </r>
  <r>
    <s v="USR-100666"/>
    <d v="2025-02-21T00:00:00"/>
    <x v="0"/>
    <x v="0"/>
    <x v="1"/>
    <s v="Paid Search"/>
    <x v="0"/>
    <n v="0"/>
    <n v="0"/>
    <n v="0"/>
    <n v="0"/>
    <n v="0"/>
    <n v="0"/>
    <n v="0"/>
    <m/>
    <n v="45.2"/>
    <n v="1"/>
  </r>
  <r>
    <s v="USR-100667"/>
    <d v="2025-02-25T00:00:00"/>
    <x v="0"/>
    <x v="2"/>
    <x v="0"/>
    <s v="Paid Search"/>
    <x v="2"/>
    <n v="0"/>
    <n v="0"/>
    <n v="0"/>
    <n v="0"/>
    <n v="0"/>
    <n v="0"/>
    <n v="0"/>
    <m/>
    <n v="48.2"/>
    <n v="1"/>
  </r>
  <r>
    <s v="USR-100668"/>
    <d v="2025-01-30T00:00:00"/>
    <x v="0"/>
    <x v="3"/>
    <x v="1"/>
    <s v="Social"/>
    <x v="1"/>
    <n v="1"/>
    <n v="1"/>
    <n v="0"/>
    <n v="0"/>
    <n v="0"/>
    <n v="1"/>
    <n v="0"/>
    <m/>
    <n v="44.8"/>
    <n v="1"/>
  </r>
  <r>
    <s v="USR-100669"/>
    <d v="2025-02-17T00:00:00"/>
    <x v="0"/>
    <x v="0"/>
    <x v="2"/>
    <s v="Social"/>
    <x v="0"/>
    <n v="0"/>
    <n v="0"/>
    <n v="0"/>
    <n v="0"/>
    <n v="0"/>
    <n v="0"/>
    <n v="0"/>
    <m/>
    <n v="52.1"/>
    <n v="1"/>
  </r>
  <r>
    <s v="USR-100670"/>
    <d v="2025-05-17T00:00:00"/>
    <x v="0"/>
    <x v="0"/>
    <x v="0"/>
    <s v="Paid Search"/>
    <x v="0"/>
    <n v="1"/>
    <n v="0"/>
    <n v="0"/>
    <n v="0"/>
    <n v="0"/>
    <n v="0"/>
    <n v="0"/>
    <m/>
    <n v="30.7"/>
    <n v="1"/>
  </r>
  <r>
    <s v="USR-100671"/>
    <d v="2025-04-30T00:00:00"/>
    <x v="0"/>
    <x v="2"/>
    <x v="0"/>
    <s v="Paid Search"/>
    <x v="1"/>
    <n v="1"/>
    <n v="0"/>
    <n v="0"/>
    <n v="0"/>
    <n v="0"/>
    <n v="0"/>
    <n v="0"/>
    <m/>
    <n v="58.4"/>
    <n v="1"/>
  </r>
  <r>
    <s v="USR-100672"/>
    <d v="2025-03-22T00:00:00"/>
    <x v="0"/>
    <x v="1"/>
    <x v="1"/>
    <s v="Referral"/>
    <x v="1"/>
    <n v="1"/>
    <n v="1"/>
    <n v="0"/>
    <n v="0"/>
    <n v="0"/>
    <n v="0"/>
    <n v="0"/>
    <m/>
    <n v="52.6"/>
    <n v="1"/>
  </r>
  <r>
    <s v="USR-100673"/>
    <d v="2025-01-10T00:00:00"/>
    <x v="0"/>
    <x v="1"/>
    <x v="3"/>
    <s v="Paid Search"/>
    <x v="1"/>
    <n v="1"/>
    <n v="0"/>
    <n v="0"/>
    <n v="0"/>
    <n v="0"/>
    <n v="1"/>
    <n v="0"/>
    <m/>
    <n v="19.100000000000001"/>
    <n v="1"/>
  </r>
  <r>
    <s v="USR-100674"/>
    <d v="2025-03-21T00:00:00"/>
    <x v="0"/>
    <x v="3"/>
    <x v="3"/>
    <s v="Paid Search"/>
    <x v="1"/>
    <n v="1"/>
    <n v="0"/>
    <n v="0"/>
    <n v="0"/>
    <n v="0"/>
    <n v="0"/>
    <n v="0"/>
    <m/>
    <n v="36.799999999999997"/>
    <n v="1"/>
  </r>
  <r>
    <s v="USR-100675"/>
    <d v="2025-05-12T00:00:00"/>
    <x v="0"/>
    <x v="0"/>
    <x v="0"/>
    <s v="Paid Search"/>
    <x v="0"/>
    <n v="0"/>
    <n v="0"/>
    <n v="0"/>
    <n v="0"/>
    <n v="0"/>
    <n v="0"/>
    <n v="0"/>
    <m/>
    <n v="68.5"/>
    <n v="1"/>
  </r>
  <r>
    <s v="USR-100676"/>
    <d v="2025-05-24T00:00:00"/>
    <x v="0"/>
    <x v="1"/>
    <x v="1"/>
    <s v="Paid Search"/>
    <x v="1"/>
    <n v="1"/>
    <n v="1"/>
    <n v="1"/>
    <n v="0"/>
    <n v="0"/>
    <n v="0"/>
    <n v="0"/>
    <m/>
    <n v="40.1"/>
    <n v="1"/>
  </r>
  <r>
    <s v="USR-100677"/>
    <d v="2025-05-03T00:00:00"/>
    <x v="0"/>
    <x v="1"/>
    <x v="2"/>
    <s v="Organic"/>
    <x v="1"/>
    <n v="1"/>
    <n v="0"/>
    <n v="0"/>
    <n v="0"/>
    <n v="0"/>
    <n v="0"/>
    <n v="0"/>
    <m/>
    <n v="47.5"/>
    <n v="1"/>
  </r>
  <r>
    <s v="USR-100678"/>
    <d v="2025-01-14T00:00:00"/>
    <x v="0"/>
    <x v="3"/>
    <x v="1"/>
    <s v="Organic"/>
    <x v="0"/>
    <n v="1"/>
    <n v="0"/>
    <n v="0"/>
    <n v="0"/>
    <n v="0"/>
    <n v="0"/>
    <n v="0"/>
    <m/>
    <n v="77.099999999999994"/>
    <n v="1"/>
  </r>
  <r>
    <s v="USR-100679"/>
    <d v="2025-03-27T00:00:00"/>
    <x v="0"/>
    <x v="1"/>
    <x v="1"/>
    <s v="Social"/>
    <x v="0"/>
    <n v="1"/>
    <n v="0"/>
    <n v="0"/>
    <n v="0"/>
    <n v="0"/>
    <n v="0"/>
    <n v="0"/>
    <m/>
    <n v="75.900000000000006"/>
    <n v="1"/>
  </r>
  <r>
    <s v="USR-100680"/>
    <d v="2025-02-28T00:00:00"/>
    <x v="0"/>
    <x v="0"/>
    <x v="0"/>
    <s v="Referral"/>
    <x v="2"/>
    <n v="0"/>
    <n v="0"/>
    <n v="0"/>
    <n v="0"/>
    <n v="0"/>
    <n v="1"/>
    <n v="0"/>
    <m/>
    <n v="52"/>
    <n v="1"/>
  </r>
  <r>
    <s v="USR-100681"/>
    <d v="2025-05-12T00:00:00"/>
    <x v="0"/>
    <x v="1"/>
    <x v="0"/>
    <s v="Referral"/>
    <x v="2"/>
    <n v="1"/>
    <n v="1"/>
    <n v="1"/>
    <n v="0"/>
    <n v="0"/>
    <n v="0"/>
    <n v="0"/>
    <m/>
    <n v="64.900000000000006"/>
    <n v="1"/>
  </r>
  <r>
    <s v="USR-100682"/>
    <d v="2025-03-14T00:00:00"/>
    <x v="0"/>
    <x v="0"/>
    <x v="1"/>
    <s v="Organic"/>
    <x v="1"/>
    <n v="1"/>
    <n v="0"/>
    <n v="0"/>
    <n v="0"/>
    <n v="0"/>
    <n v="0"/>
    <n v="0"/>
    <m/>
    <n v="48.2"/>
    <n v="1"/>
  </r>
  <r>
    <s v="USR-100683"/>
    <d v="2025-05-20T00:00:00"/>
    <x v="0"/>
    <x v="2"/>
    <x v="1"/>
    <s v="Organic"/>
    <x v="0"/>
    <n v="0"/>
    <n v="0"/>
    <n v="0"/>
    <n v="0"/>
    <n v="0"/>
    <n v="0"/>
    <n v="0"/>
    <m/>
    <n v="42.1"/>
    <n v="1"/>
  </r>
  <r>
    <s v="USR-100684"/>
    <d v="2025-02-24T00:00:00"/>
    <x v="0"/>
    <x v="3"/>
    <x v="0"/>
    <s v="Referral"/>
    <x v="1"/>
    <n v="0"/>
    <n v="0"/>
    <n v="0"/>
    <n v="0"/>
    <n v="0"/>
    <n v="0"/>
    <n v="0"/>
    <m/>
    <n v="27.6"/>
    <n v="1"/>
  </r>
  <r>
    <s v="USR-100685"/>
    <d v="2025-02-13T00:00:00"/>
    <x v="0"/>
    <x v="1"/>
    <x v="1"/>
    <s v="Organic"/>
    <x v="2"/>
    <n v="1"/>
    <n v="0"/>
    <n v="0"/>
    <n v="0"/>
    <n v="0"/>
    <n v="1"/>
    <n v="0"/>
    <m/>
    <n v="68.5"/>
    <n v="1"/>
  </r>
  <r>
    <s v="USR-100686"/>
    <d v="2025-02-06T00:00:00"/>
    <x v="0"/>
    <x v="3"/>
    <x v="0"/>
    <s v="Organic"/>
    <x v="1"/>
    <n v="1"/>
    <n v="1"/>
    <n v="1"/>
    <n v="0"/>
    <n v="0"/>
    <n v="0"/>
    <n v="0"/>
    <m/>
    <n v="59.2"/>
    <n v="1"/>
  </r>
  <r>
    <s v="USR-100687"/>
    <d v="2025-03-02T00:00:00"/>
    <x v="0"/>
    <x v="0"/>
    <x v="1"/>
    <s v="Social"/>
    <x v="0"/>
    <n v="1"/>
    <n v="0"/>
    <n v="0"/>
    <n v="0"/>
    <n v="0"/>
    <n v="0"/>
    <n v="0"/>
    <m/>
    <n v="63.3"/>
    <n v="1"/>
  </r>
  <r>
    <s v="USR-100688"/>
    <d v="2025-04-28T00:00:00"/>
    <x v="0"/>
    <x v="2"/>
    <x v="0"/>
    <s v="Paid Search"/>
    <x v="1"/>
    <n v="0"/>
    <n v="0"/>
    <n v="0"/>
    <n v="0"/>
    <n v="0"/>
    <n v="0"/>
    <n v="0"/>
    <m/>
    <n v="55"/>
    <n v="1"/>
  </r>
  <r>
    <s v="USR-100689"/>
    <d v="2025-05-27T00:00:00"/>
    <x v="0"/>
    <x v="0"/>
    <x v="0"/>
    <m/>
    <x v="2"/>
    <n v="1"/>
    <n v="0"/>
    <n v="0"/>
    <n v="0"/>
    <n v="0"/>
    <n v="0"/>
    <n v="0"/>
    <m/>
    <n v="64.8"/>
    <n v="1"/>
  </r>
  <r>
    <s v="USR-100690"/>
    <d v="2025-04-07T00:00:00"/>
    <x v="0"/>
    <x v="3"/>
    <x v="0"/>
    <s v="Organic"/>
    <x v="0"/>
    <n v="0"/>
    <n v="0"/>
    <n v="0"/>
    <n v="0"/>
    <n v="0"/>
    <n v="2"/>
    <n v="0"/>
    <m/>
    <n v="41.8"/>
    <n v="1"/>
  </r>
  <r>
    <s v="USR-100691"/>
    <d v="2025-04-14T00:00:00"/>
    <x v="1"/>
    <x v="2"/>
    <x v="0"/>
    <s v="Social"/>
    <x v="0"/>
    <n v="1"/>
    <n v="0"/>
    <n v="0"/>
    <n v="0"/>
    <n v="0"/>
    <n v="0"/>
    <n v="0"/>
    <m/>
    <n v="73.2"/>
    <n v="1"/>
  </r>
  <r>
    <s v="USR-100692"/>
    <d v="2025-05-09T00:00:00"/>
    <x v="1"/>
    <x v="2"/>
    <x v="0"/>
    <s v="Organic"/>
    <x v="0"/>
    <n v="1"/>
    <n v="1"/>
    <n v="1"/>
    <n v="0"/>
    <n v="0"/>
    <n v="3"/>
    <n v="0"/>
    <m/>
    <n v="55.7"/>
    <n v="1"/>
  </r>
  <r>
    <s v="USR-100693"/>
    <d v="2025-03-21T00:00:00"/>
    <x v="1"/>
    <x v="0"/>
    <x v="1"/>
    <s v="Organic"/>
    <x v="1"/>
    <n v="1"/>
    <n v="1"/>
    <n v="1"/>
    <n v="0"/>
    <n v="0"/>
    <n v="0"/>
    <n v="0"/>
    <m/>
    <n v="82.8"/>
    <n v="1"/>
  </r>
  <r>
    <s v="USR-100694"/>
    <d v="2025-03-27T00:00:00"/>
    <x v="1"/>
    <x v="0"/>
    <x v="0"/>
    <s v="Social"/>
    <x v="1"/>
    <n v="1"/>
    <n v="0"/>
    <n v="0"/>
    <n v="0"/>
    <n v="0"/>
    <n v="0"/>
    <n v="0"/>
    <m/>
    <m/>
    <n v="1"/>
  </r>
  <r>
    <s v="USR-100695"/>
    <d v="2025-01-21T00:00:00"/>
    <x v="1"/>
    <x v="3"/>
    <x v="1"/>
    <s v="Paid Search"/>
    <x v="1"/>
    <n v="0"/>
    <n v="0"/>
    <n v="0"/>
    <n v="0"/>
    <n v="0"/>
    <n v="0"/>
    <n v="0"/>
    <m/>
    <n v="34.4"/>
    <n v="1"/>
  </r>
  <r>
    <s v="USR-100696"/>
    <d v="2025-03-19T00:00:00"/>
    <x v="1"/>
    <x v="2"/>
    <x v="0"/>
    <s v="Email"/>
    <x v="1"/>
    <n v="1"/>
    <n v="0"/>
    <n v="0"/>
    <n v="0"/>
    <n v="0"/>
    <n v="0"/>
    <n v="0"/>
    <m/>
    <n v="45.2"/>
    <n v="1"/>
  </r>
  <r>
    <s v="USR-100697"/>
    <d v="2025-05-27T00:00:00"/>
    <x v="1"/>
    <x v="0"/>
    <x v="1"/>
    <s v="Organic"/>
    <x v="0"/>
    <n v="1"/>
    <n v="0"/>
    <n v="0"/>
    <n v="0"/>
    <n v="0"/>
    <n v="0"/>
    <n v="0"/>
    <m/>
    <n v="71.599999999999994"/>
    <n v="1"/>
  </r>
  <r>
    <s v="USR-100698"/>
    <d v="2025-01-01T00:00:00"/>
    <x v="1"/>
    <x v="0"/>
    <x v="1"/>
    <s v="Social"/>
    <x v="1"/>
    <n v="1"/>
    <n v="1"/>
    <n v="1"/>
    <n v="0"/>
    <n v="0"/>
    <n v="0"/>
    <n v="0"/>
    <m/>
    <n v="69.099999999999994"/>
    <n v="1"/>
  </r>
  <r>
    <s v="USR-100699"/>
    <d v="2025-03-29T00:00:00"/>
    <x v="1"/>
    <x v="1"/>
    <x v="0"/>
    <s v="Paid Search"/>
    <x v="2"/>
    <n v="1"/>
    <n v="0"/>
    <n v="0"/>
    <n v="0"/>
    <n v="0"/>
    <n v="1"/>
    <n v="0"/>
    <m/>
    <n v="37.700000000000003"/>
    <n v="1"/>
  </r>
  <r>
    <s v="USR-100700"/>
    <d v="2025-03-17T00:00:00"/>
    <x v="1"/>
    <x v="1"/>
    <x v="0"/>
    <s v="Organic"/>
    <x v="0"/>
    <n v="1"/>
    <n v="0"/>
    <n v="0"/>
    <n v="0"/>
    <n v="0"/>
    <n v="1"/>
    <n v="0"/>
    <m/>
    <n v="60.8"/>
    <n v="1"/>
  </r>
  <r>
    <s v="USR-100701"/>
    <d v="2025-05-05T00:00:00"/>
    <x v="1"/>
    <x v="0"/>
    <x v="1"/>
    <s v="Organic"/>
    <x v="1"/>
    <n v="1"/>
    <n v="1"/>
    <n v="1"/>
    <n v="1"/>
    <n v="444.13"/>
    <n v="0"/>
    <n v="0"/>
    <n v="10"/>
    <n v="80.7"/>
    <n v="1"/>
  </r>
  <r>
    <s v="USR-100702"/>
    <d v="2025-05-04T00:00:00"/>
    <x v="1"/>
    <x v="3"/>
    <x v="1"/>
    <s v="Social"/>
    <x v="1"/>
    <n v="1"/>
    <n v="0"/>
    <n v="0"/>
    <n v="0"/>
    <n v="0"/>
    <n v="0"/>
    <n v="0"/>
    <m/>
    <n v="69.2"/>
    <n v="1"/>
  </r>
  <r>
    <s v="USR-100703"/>
    <d v="2025-03-25T00:00:00"/>
    <x v="1"/>
    <x v="0"/>
    <x v="1"/>
    <s v="Social"/>
    <x v="2"/>
    <n v="0"/>
    <n v="0"/>
    <n v="0"/>
    <n v="0"/>
    <n v="0"/>
    <n v="3"/>
    <n v="0"/>
    <m/>
    <n v="55"/>
    <n v="1"/>
  </r>
  <r>
    <s v="USR-100704"/>
    <d v="2025-04-17T00:00:00"/>
    <x v="1"/>
    <x v="1"/>
    <x v="1"/>
    <s v="Email"/>
    <x v="1"/>
    <n v="0"/>
    <n v="0"/>
    <n v="0"/>
    <n v="0"/>
    <n v="0"/>
    <n v="1"/>
    <n v="0"/>
    <m/>
    <n v="73.599999999999994"/>
    <n v="1"/>
  </r>
  <r>
    <s v="USR-100705"/>
    <d v="2025-05-23T00:00:00"/>
    <x v="1"/>
    <x v="3"/>
    <x v="1"/>
    <s v="Referral"/>
    <x v="0"/>
    <n v="1"/>
    <n v="1"/>
    <n v="1"/>
    <n v="0"/>
    <n v="0"/>
    <n v="1"/>
    <n v="0"/>
    <m/>
    <n v="47.3"/>
    <n v="1"/>
  </r>
  <r>
    <s v="USR-100706"/>
    <d v="2025-01-13T00:00:00"/>
    <x v="1"/>
    <x v="0"/>
    <x v="1"/>
    <s v="Organic"/>
    <x v="0"/>
    <n v="0"/>
    <n v="0"/>
    <n v="0"/>
    <n v="0"/>
    <n v="0"/>
    <n v="0"/>
    <n v="0"/>
    <m/>
    <n v="43.6"/>
    <n v="1"/>
  </r>
  <r>
    <s v="USR-100707"/>
    <d v="2025-01-29T00:00:00"/>
    <x v="1"/>
    <x v="0"/>
    <x v="0"/>
    <s v="Organic"/>
    <x v="0"/>
    <n v="1"/>
    <n v="0"/>
    <n v="0"/>
    <n v="0"/>
    <n v="0"/>
    <n v="0"/>
    <n v="0"/>
    <m/>
    <m/>
    <n v="1"/>
  </r>
  <r>
    <s v="USR-100708"/>
    <d v="2025-05-11T00:00:00"/>
    <x v="1"/>
    <x v="3"/>
    <x v="1"/>
    <s v="Email"/>
    <x v="1"/>
    <n v="0"/>
    <n v="0"/>
    <n v="0"/>
    <n v="0"/>
    <n v="0"/>
    <n v="0"/>
    <n v="0"/>
    <m/>
    <n v="55.2"/>
    <n v="1"/>
  </r>
  <r>
    <s v="USR-100709"/>
    <d v="2025-04-22T00:00:00"/>
    <x v="1"/>
    <x v="3"/>
    <x v="1"/>
    <s v="Organic"/>
    <x v="0"/>
    <n v="1"/>
    <n v="0"/>
    <n v="0"/>
    <n v="0"/>
    <n v="0"/>
    <n v="0"/>
    <n v="0"/>
    <m/>
    <n v="49.4"/>
    <n v="1"/>
  </r>
  <r>
    <s v="USR-100710"/>
    <d v="2025-03-03T00:00:00"/>
    <x v="1"/>
    <x v="3"/>
    <x v="1"/>
    <s v="Social"/>
    <x v="1"/>
    <n v="1"/>
    <n v="1"/>
    <n v="1"/>
    <n v="0"/>
    <n v="0"/>
    <n v="1"/>
    <n v="0"/>
    <m/>
    <n v="60.1"/>
    <n v="1"/>
  </r>
  <r>
    <s v="USR-100711"/>
    <d v="2025-03-18T00:00:00"/>
    <x v="1"/>
    <x v="0"/>
    <x v="1"/>
    <s v="Referral"/>
    <x v="1"/>
    <n v="1"/>
    <n v="0"/>
    <n v="0"/>
    <n v="0"/>
    <n v="0"/>
    <n v="0"/>
    <n v="0"/>
    <m/>
    <n v="55.9"/>
    <n v="1"/>
  </r>
  <r>
    <s v="USR-100712"/>
    <d v="2025-04-05T00:00:00"/>
    <x v="1"/>
    <x v="0"/>
    <x v="1"/>
    <s v="Organic"/>
    <x v="0"/>
    <n v="1"/>
    <n v="0"/>
    <n v="0"/>
    <n v="0"/>
    <n v="0"/>
    <n v="0"/>
    <n v="0"/>
    <m/>
    <n v="51.5"/>
    <n v="1"/>
  </r>
  <r>
    <s v="USR-100713"/>
    <d v="2025-04-16T00:00:00"/>
    <x v="1"/>
    <x v="2"/>
    <x v="1"/>
    <s v="Organic"/>
    <x v="1"/>
    <n v="1"/>
    <n v="1"/>
    <n v="1"/>
    <n v="1"/>
    <n v="516.66999999999996"/>
    <n v="0"/>
    <n v="0"/>
    <n v="11"/>
    <n v="57.9"/>
    <n v="1"/>
  </r>
  <r>
    <s v="USR-100714"/>
    <d v="2025-04-20T00:00:00"/>
    <x v="1"/>
    <x v="3"/>
    <x v="1"/>
    <s v="Referral"/>
    <x v="1"/>
    <n v="1"/>
    <n v="1"/>
    <n v="1"/>
    <n v="1"/>
    <n v="277.18"/>
    <n v="2"/>
    <n v="0"/>
    <n v="8"/>
    <n v="59.2"/>
    <n v="1"/>
  </r>
  <r>
    <s v="USR-100715"/>
    <d v="2025-02-15T00:00:00"/>
    <x v="1"/>
    <x v="3"/>
    <x v="1"/>
    <s v="Organic"/>
    <x v="1"/>
    <n v="0"/>
    <n v="0"/>
    <n v="0"/>
    <n v="0"/>
    <n v="0"/>
    <n v="0"/>
    <n v="0"/>
    <m/>
    <n v="64.2"/>
    <n v="1"/>
  </r>
  <r>
    <s v="USR-100716"/>
    <d v="2025-01-21T00:00:00"/>
    <x v="1"/>
    <x v="3"/>
    <x v="1"/>
    <s v="Organic"/>
    <x v="1"/>
    <n v="1"/>
    <n v="0"/>
    <n v="0"/>
    <n v="0"/>
    <n v="0"/>
    <n v="0"/>
    <n v="0"/>
    <m/>
    <n v="68.8"/>
    <n v="1"/>
  </r>
  <r>
    <s v="USR-100717"/>
    <d v="2025-05-23T00:00:00"/>
    <x v="1"/>
    <x v="0"/>
    <x v="1"/>
    <s v="Paid Search"/>
    <x v="2"/>
    <n v="1"/>
    <n v="1"/>
    <n v="1"/>
    <n v="0"/>
    <n v="0"/>
    <n v="0"/>
    <n v="0"/>
    <m/>
    <n v="77.900000000000006"/>
    <n v="1"/>
  </r>
  <r>
    <s v="USR-100718"/>
    <d v="2025-01-22T00:00:00"/>
    <x v="1"/>
    <x v="1"/>
    <x v="1"/>
    <s v="Paid Search"/>
    <x v="0"/>
    <n v="0"/>
    <n v="0"/>
    <n v="0"/>
    <n v="0"/>
    <n v="0"/>
    <n v="0"/>
    <n v="0"/>
    <m/>
    <n v="92.1"/>
    <n v="1"/>
  </r>
  <r>
    <s v="USR-100719"/>
    <d v="2025-04-24T00:00:00"/>
    <x v="1"/>
    <x v="1"/>
    <x v="1"/>
    <s v="Paid Search"/>
    <x v="2"/>
    <n v="0"/>
    <n v="0"/>
    <n v="0"/>
    <n v="0"/>
    <n v="0"/>
    <n v="0"/>
    <n v="0"/>
    <m/>
    <n v="63.6"/>
    <n v="1"/>
  </r>
  <r>
    <s v="USR-100720"/>
    <d v="2025-01-17T00:00:00"/>
    <x v="1"/>
    <x v="1"/>
    <x v="0"/>
    <s v="Email"/>
    <x v="1"/>
    <n v="0"/>
    <n v="0"/>
    <n v="0"/>
    <n v="0"/>
    <n v="0"/>
    <n v="2"/>
    <n v="0"/>
    <m/>
    <n v="61.6"/>
    <n v="1"/>
  </r>
  <r>
    <s v="USR-100721"/>
    <d v="2025-01-22T00:00:00"/>
    <x v="1"/>
    <x v="2"/>
    <x v="1"/>
    <s v="Referral"/>
    <x v="0"/>
    <n v="1"/>
    <n v="1"/>
    <n v="0"/>
    <n v="0"/>
    <n v="0"/>
    <n v="0"/>
    <n v="0"/>
    <m/>
    <n v="82.3"/>
    <n v="1"/>
  </r>
  <r>
    <s v="USR-100722"/>
    <d v="2025-05-04T00:00:00"/>
    <x v="1"/>
    <x v="2"/>
    <x v="0"/>
    <s v="Paid Search"/>
    <x v="1"/>
    <n v="1"/>
    <n v="0"/>
    <n v="0"/>
    <n v="0"/>
    <n v="0"/>
    <n v="0"/>
    <n v="0"/>
    <m/>
    <n v="79.3"/>
    <n v="1"/>
  </r>
  <r>
    <s v="USR-100723"/>
    <d v="2025-03-13T00:00:00"/>
    <x v="1"/>
    <x v="3"/>
    <x v="1"/>
    <m/>
    <x v="1"/>
    <n v="0"/>
    <n v="0"/>
    <n v="0"/>
    <n v="0"/>
    <n v="0"/>
    <n v="0"/>
    <n v="0"/>
    <m/>
    <n v="57.7"/>
    <n v="1"/>
  </r>
  <r>
    <s v="USR-100724"/>
    <d v="2025-01-02T00:00:00"/>
    <x v="1"/>
    <x v="0"/>
    <x v="1"/>
    <s v="Organic"/>
    <x v="0"/>
    <n v="1"/>
    <n v="0"/>
    <n v="0"/>
    <n v="0"/>
    <n v="0"/>
    <n v="0"/>
    <n v="0"/>
    <m/>
    <n v="63.1"/>
    <n v="1"/>
  </r>
  <r>
    <s v="USR-100725"/>
    <d v="2025-01-13T00:00:00"/>
    <x v="1"/>
    <x v="2"/>
    <x v="1"/>
    <s v="Paid Search"/>
    <x v="0"/>
    <n v="0"/>
    <n v="0"/>
    <n v="0"/>
    <n v="0"/>
    <n v="0"/>
    <n v="0"/>
    <n v="0"/>
    <m/>
    <n v="72.3"/>
    <n v="1"/>
  </r>
  <r>
    <s v="USR-100726"/>
    <d v="2025-02-09T00:00:00"/>
    <x v="1"/>
    <x v="2"/>
    <x v="1"/>
    <s v="Social"/>
    <x v="1"/>
    <n v="1"/>
    <n v="1"/>
    <n v="1"/>
    <n v="0"/>
    <n v="0"/>
    <n v="0"/>
    <n v="0"/>
    <m/>
    <n v="78"/>
    <n v="1"/>
  </r>
  <r>
    <s v="USR-100727"/>
    <d v="2025-04-09T00:00:00"/>
    <x v="1"/>
    <x v="2"/>
    <x v="0"/>
    <s v="Social"/>
    <x v="1"/>
    <n v="1"/>
    <n v="1"/>
    <n v="0"/>
    <n v="0"/>
    <n v="0"/>
    <n v="2"/>
    <n v="0"/>
    <m/>
    <n v="59.1"/>
    <n v="1"/>
  </r>
  <r>
    <s v="USR-100728"/>
    <d v="2025-01-02T00:00:00"/>
    <x v="1"/>
    <x v="3"/>
    <x v="1"/>
    <s v="Paid Search"/>
    <x v="1"/>
    <n v="1"/>
    <n v="1"/>
    <n v="1"/>
    <n v="1"/>
    <n v="604.09"/>
    <n v="0"/>
    <n v="0"/>
    <n v="7"/>
    <n v="47.1"/>
    <n v="1"/>
  </r>
  <r>
    <s v="USR-100729"/>
    <d v="2025-02-04T00:00:00"/>
    <x v="1"/>
    <x v="3"/>
    <x v="1"/>
    <m/>
    <x v="2"/>
    <n v="1"/>
    <n v="0"/>
    <n v="0"/>
    <n v="0"/>
    <n v="0"/>
    <n v="0"/>
    <n v="0"/>
    <m/>
    <n v="64.900000000000006"/>
    <n v="1"/>
  </r>
  <r>
    <s v="USR-100730"/>
    <d v="2025-02-19T00:00:00"/>
    <x v="1"/>
    <x v="3"/>
    <x v="2"/>
    <s v="Paid Search"/>
    <x v="1"/>
    <n v="0"/>
    <n v="0"/>
    <n v="0"/>
    <n v="0"/>
    <n v="0"/>
    <n v="0"/>
    <n v="0"/>
    <m/>
    <n v="67.3"/>
    <n v="1"/>
  </r>
  <r>
    <s v="USR-100731"/>
    <d v="2025-04-01T00:00:00"/>
    <x v="1"/>
    <x v="2"/>
    <x v="1"/>
    <s v="Paid Search"/>
    <x v="0"/>
    <n v="1"/>
    <n v="0"/>
    <n v="0"/>
    <n v="0"/>
    <n v="0"/>
    <n v="2"/>
    <n v="0"/>
    <m/>
    <n v="52.9"/>
    <n v="1"/>
  </r>
  <r>
    <s v="USR-100732"/>
    <d v="2025-01-29T00:00:00"/>
    <x v="1"/>
    <x v="0"/>
    <x v="1"/>
    <s v="Referral"/>
    <x v="1"/>
    <n v="1"/>
    <n v="1"/>
    <n v="1"/>
    <n v="1"/>
    <n v="442.37"/>
    <n v="1"/>
    <n v="0"/>
    <n v="4"/>
    <n v="69.900000000000006"/>
    <n v="1"/>
  </r>
  <r>
    <s v="USR-100733"/>
    <d v="2025-05-18T00:00:00"/>
    <x v="1"/>
    <x v="0"/>
    <x v="1"/>
    <s v="Referral"/>
    <x v="0"/>
    <n v="1"/>
    <n v="1"/>
    <n v="1"/>
    <n v="0"/>
    <n v="0"/>
    <n v="0"/>
    <n v="0"/>
    <m/>
    <n v="78.900000000000006"/>
    <n v="1"/>
  </r>
  <r>
    <s v="USR-100734"/>
    <d v="2025-04-15T00:00:00"/>
    <x v="1"/>
    <x v="2"/>
    <x v="0"/>
    <s v="Social"/>
    <x v="2"/>
    <n v="1"/>
    <n v="1"/>
    <n v="0"/>
    <n v="0"/>
    <n v="0"/>
    <n v="0"/>
    <n v="0"/>
    <m/>
    <n v="83.3"/>
    <n v="1"/>
  </r>
  <r>
    <s v="USR-100735"/>
    <d v="2025-03-28T00:00:00"/>
    <x v="1"/>
    <x v="2"/>
    <x v="0"/>
    <s v="Email"/>
    <x v="1"/>
    <n v="1"/>
    <n v="0"/>
    <n v="0"/>
    <n v="0"/>
    <n v="0"/>
    <n v="1"/>
    <n v="0"/>
    <m/>
    <n v="24.5"/>
    <n v="1"/>
  </r>
  <r>
    <s v="USR-100736"/>
    <d v="2025-04-01T00:00:00"/>
    <x v="1"/>
    <x v="1"/>
    <x v="1"/>
    <s v="Paid Search"/>
    <x v="0"/>
    <n v="1"/>
    <n v="1"/>
    <n v="0"/>
    <n v="0"/>
    <n v="0"/>
    <n v="1"/>
    <n v="0"/>
    <m/>
    <n v="56.9"/>
    <n v="1"/>
  </r>
  <r>
    <s v="USR-100737"/>
    <d v="2025-02-11T00:00:00"/>
    <x v="1"/>
    <x v="1"/>
    <x v="1"/>
    <s v="Social"/>
    <x v="0"/>
    <n v="1"/>
    <n v="0"/>
    <n v="0"/>
    <n v="0"/>
    <n v="0"/>
    <n v="0"/>
    <n v="0"/>
    <m/>
    <n v="69.900000000000006"/>
    <n v="1"/>
  </r>
  <r>
    <s v="USR-100738"/>
    <d v="2025-03-04T00:00:00"/>
    <x v="1"/>
    <x v="3"/>
    <x v="1"/>
    <s v="Organic"/>
    <x v="1"/>
    <n v="1"/>
    <n v="1"/>
    <n v="1"/>
    <n v="0"/>
    <n v="0"/>
    <n v="0"/>
    <n v="0"/>
    <m/>
    <n v="81.5"/>
    <n v="1"/>
  </r>
  <r>
    <s v="USR-100739"/>
    <d v="2025-01-21T00:00:00"/>
    <x v="1"/>
    <x v="0"/>
    <x v="2"/>
    <s v="Social"/>
    <x v="0"/>
    <n v="0"/>
    <n v="0"/>
    <n v="0"/>
    <n v="0"/>
    <n v="0"/>
    <n v="2"/>
    <n v="0"/>
    <m/>
    <n v="37.9"/>
    <n v="1"/>
  </r>
  <r>
    <s v="USR-100740"/>
    <d v="2025-02-14T00:00:00"/>
    <x v="1"/>
    <x v="0"/>
    <x v="1"/>
    <s v="Referral"/>
    <x v="1"/>
    <n v="0"/>
    <n v="0"/>
    <n v="0"/>
    <n v="0"/>
    <n v="0"/>
    <n v="1"/>
    <n v="0"/>
    <m/>
    <n v="61.7"/>
    <n v="1"/>
  </r>
  <r>
    <s v="USR-100741"/>
    <d v="2025-03-30T00:00:00"/>
    <x v="1"/>
    <x v="0"/>
    <x v="0"/>
    <m/>
    <x v="2"/>
    <n v="1"/>
    <n v="0"/>
    <n v="0"/>
    <n v="0"/>
    <n v="0"/>
    <n v="2"/>
    <n v="0"/>
    <m/>
    <n v="53.2"/>
    <n v="1"/>
  </r>
  <r>
    <s v="USR-100742"/>
    <d v="2025-01-08T00:00:00"/>
    <x v="1"/>
    <x v="0"/>
    <x v="1"/>
    <s v="Referral"/>
    <x v="1"/>
    <n v="0"/>
    <n v="0"/>
    <n v="0"/>
    <n v="0"/>
    <n v="0"/>
    <n v="0"/>
    <n v="0"/>
    <m/>
    <n v="61.9"/>
    <n v="1"/>
  </r>
  <r>
    <s v="USR-100743"/>
    <d v="2025-02-07T00:00:00"/>
    <x v="1"/>
    <x v="0"/>
    <x v="1"/>
    <s v="Social"/>
    <x v="1"/>
    <n v="1"/>
    <n v="1"/>
    <n v="1"/>
    <n v="0"/>
    <n v="0"/>
    <n v="0"/>
    <n v="0"/>
    <m/>
    <n v="68.900000000000006"/>
    <n v="1"/>
  </r>
  <r>
    <s v="USR-100744"/>
    <d v="2025-02-01T00:00:00"/>
    <x v="1"/>
    <x v="0"/>
    <x v="2"/>
    <s v="Paid Search"/>
    <x v="0"/>
    <n v="0"/>
    <n v="0"/>
    <n v="0"/>
    <n v="0"/>
    <n v="0"/>
    <n v="0"/>
    <n v="0"/>
    <m/>
    <n v="66.3"/>
    <n v="1"/>
  </r>
  <r>
    <s v="USR-100745"/>
    <d v="2025-01-04T00:00:00"/>
    <x v="1"/>
    <x v="2"/>
    <x v="1"/>
    <s v="Email"/>
    <x v="1"/>
    <n v="1"/>
    <n v="1"/>
    <n v="1"/>
    <n v="0"/>
    <n v="0"/>
    <n v="0"/>
    <n v="0"/>
    <m/>
    <n v="54.6"/>
    <n v="1"/>
  </r>
  <r>
    <s v="USR-100746"/>
    <d v="2025-05-16T00:00:00"/>
    <x v="1"/>
    <x v="3"/>
    <x v="0"/>
    <s v="Referral"/>
    <x v="1"/>
    <n v="0"/>
    <n v="0"/>
    <n v="0"/>
    <n v="0"/>
    <n v="0"/>
    <n v="0"/>
    <n v="0"/>
    <m/>
    <n v="53.8"/>
    <n v="1"/>
  </r>
  <r>
    <s v="USR-100747"/>
    <d v="2025-02-28T00:00:00"/>
    <x v="1"/>
    <x v="1"/>
    <x v="1"/>
    <s v="Referral"/>
    <x v="1"/>
    <n v="1"/>
    <n v="0"/>
    <n v="0"/>
    <n v="0"/>
    <n v="0"/>
    <n v="0"/>
    <n v="0"/>
    <m/>
    <n v="59.5"/>
    <n v="1"/>
  </r>
  <r>
    <s v="USR-100748"/>
    <d v="2025-04-12T00:00:00"/>
    <x v="1"/>
    <x v="0"/>
    <x v="1"/>
    <s v="Referral"/>
    <x v="1"/>
    <n v="1"/>
    <n v="0"/>
    <n v="0"/>
    <n v="0"/>
    <n v="0"/>
    <n v="0"/>
    <n v="0"/>
    <m/>
    <n v="52.6"/>
    <n v="1"/>
  </r>
  <r>
    <s v="USR-100749"/>
    <d v="2025-03-23T00:00:00"/>
    <x v="1"/>
    <x v="3"/>
    <x v="0"/>
    <s v="Organic"/>
    <x v="1"/>
    <n v="0"/>
    <n v="0"/>
    <n v="0"/>
    <n v="0"/>
    <n v="0"/>
    <n v="0"/>
    <n v="0"/>
    <m/>
    <n v="49"/>
    <n v="1"/>
  </r>
  <r>
    <s v="USR-100750"/>
    <d v="2025-05-29T00:00:00"/>
    <x v="1"/>
    <x v="0"/>
    <x v="2"/>
    <s v="Organic"/>
    <x v="1"/>
    <n v="1"/>
    <n v="0"/>
    <n v="0"/>
    <n v="0"/>
    <n v="0"/>
    <n v="0"/>
    <n v="0"/>
    <m/>
    <n v="59.3"/>
    <n v="1"/>
  </r>
  <r>
    <s v="USR-100751"/>
    <d v="2025-05-21T00:00:00"/>
    <x v="1"/>
    <x v="3"/>
    <x v="0"/>
    <s v="Organic"/>
    <x v="0"/>
    <n v="0"/>
    <n v="0"/>
    <n v="0"/>
    <n v="0"/>
    <n v="0"/>
    <n v="0"/>
    <n v="0"/>
    <m/>
    <n v="67.2"/>
    <n v="1"/>
  </r>
  <r>
    <s v="USR-100752"/>
    <d v="2025-01-05T00:00:00"/>
    <x v="1"/>
    <x v="3"/>
    <x v="1"/>
    <s v="Referral"/>
    <x v="2"/>
    <n v="0"/>
    <n v="0"/>
    <n v="0"/>
    <n v="0"/>
    <n v="0"/>
    <n v="0"/>
    <n v="0"/>
    <m/>
    <n v="73.5"/>
    <n v="1"/>
  </r>
  <r>
    <s v="USR-100753"/>
    <d v="2025-03-19T00:00:00"/>
    <x v="1"/>
    <x v="2"/>
    <x v="2"/>
    <s v="Organic"/>
    <x v="1"/>
    <n v="1"/>
    <n v="0"/>
    <n v="0"/>
    <n v="0"/>
    <n v="0"/>
    <n v="0"/>
    <n v="0"/>
    <m/>
    <n v="61.2"/>
    <n v="1"/>
  </r>
  <r>
    <s v="USR-100754"/>
    <d v="2025-04-24T00:00:00"/>
    <x v="1"/>
    <x v="2"/>
    <x v="1"/>
    <s v="Organic"/>
    <x v="1"/>
    <n v="1"/>
    <n v="0"/>
    <n v="0"/>
    <n v="0"/>
    <n v="0"/>
    <n v="1"/>
    <n v="0"/>
    <m/>
    <n v="56.4"/>
    <n v="1"/>
  </r>
  <r>
    <s v="USR-100755"/>
    <d v="2025-03-10T00:00:00"/>
    <x v="1"/>
    <x v="0"/>
    <x v="2"/>
    <s v="Organic"/>
    <x v="1"/>
    <n v="0"/>
    <n v="0"/>
    <n v="0"/>
    <n v="0"/>
    <n v="0"/>
    <n v="3"/>
    <n v="0"/>
    <m/>
    <n v="72.599999999999994"/>
    <n v="1"/>
  </r>
  <r>
    <s v="USR-100756"/>
    <d v="2025-02-22T00:00:00"/>
    <x v="1"/>
    <x v="3"/>
    <x v="2"/>
    <s v="Referral"/>
    <x v="0"/>
    <n v="1"/>
    <n v="0"/>
    <n v="0"/>
    <n v="0"/>
    <n v="0"/>
    <n v="0"/>
    <n v="0"/>
    <m/>
    <n v="61.7"/>
    <n v="1"/>
  </r>
  <r>
    <s v="USR-100757"/>
    <d v="2025-05-17T00:00:00"/>
    <x v="1"/>
    <x v="2"/>
    <x v="1"/>
    <s v="Social"/>
    <x v="1"/>
    <n v="0"/>
    <n v="0"/>
    <n v="0"/>
    <n v="0"/>
    <n v="0"/>
    <n v="1"/>
    <n v="0"/>
    <m/>
    <n v="66.900000000000006"/>
    <n v="1"/>
  </r>
  <r>
    <s v="USR-100758"/>
    <d v="2025-05-09T00:00:00"/>
    <x v="1"/>
    <x v="2"/>
    <x v="2"/>
    <s v="Referral"/>
    <x v="2"/>
    <n v="1"/>
    <n v="1"/>
    <n v="1"/>
    <n v="1"/>
    <n v="1506.24"/>
    <n v="1"/>
    <n v="0"/>
    <n v="7"/>
    <n v="64.900000000000006"/>
    <n v="1"/>
  </r>
  <r>
    <s v="USR-100759"/>
    <d v="2025-04-26T00:00:00"/>
    <x v="1"/>
    <x v="2"/>
    <x v="2"/>
    <s v="Organic"/>
    <x v="2"/>
    <n v="1"/>
    <n v="0"/>
    <n v="0"/>
    <n v="0"/>
    <n v="0"/>
    <n v="0"/>
    <n v="0"/>
    <m/>
    <n v="57.5"/>
    <n v="1"/>
  </r>
  <r>
    <s v="USR-100760"/>
    <d v="2025-03-15T00:00:00"/>
    <x v="1"/>
    <x v="1"/>
    <x v="0"/>
    <s v="Social"/>
    <x v="1"/>
    <n v="1"/>
    <n v="1"/>
    <n v="1"/>
    <n v="0"/>
    <n v="0"/>
    <n v="0"/>
    <n v="0"/>
    <m/>
    <n v="76.3"/>
    <n v="1"/>
  </r>
  <r>
    <s v="USR-100761"/>
    <d v="2025-04-03T00:00:00"/>
    <x v="1"/>
    <x v="0"/>
    <x v="1"/>
    <s v="Paid Search"/>
    <x v="1"/>
    <n v="0"/>
    <n v="0"/>
    <n v="0"/>
    <n v="0"/>
    <n v="0"/>
    <n v="0"/>
    <n v="0"/>
    <m/>
    <n v="47.5"/>
    <n v="1"/>
  </r>
  <r>
    <s v="USR-100762"/>
    <d v="2025-03-26T00:00:00"/>
    <x v="1"/>
    <x v="3"/>
    <x v="1"/>
    <s v="Paid Search"/>
    <x v="1"/>
    <n v="0"/>
    <n v="0"/>
    <n v="0"/>
    <n v="0"/>
    <n v="0"/>
    <n v="0"/>
    <n v="0"/>
    <m/>
    <m/>
    <n v="1"/>
  </r>
  <r>
    <s v="USR-100763"/>
    <d v="2025-02-05T00:00:00"/>
    <x v="1"/>
    <x v="1"/>
    <x v="0"/>
    <s v="Organic"/>
    <x v="0"/>
    <n v="1"/>
    <n v="1"/>
    <n v="0"/>
    <n v="0"/>
    <n v="0"/>
    <n v="2"/>
    <n v="0"/>
    <m/>
    <n v="71.599999999999994"/>
    <n v="1"/>
  </r>
  <r>
    <s v="USR-100764"/>
    <d v="2025-05-08T00:00:00"/>
    <x v="1"/>
    <x v="3"/>
    <x v="1"/>
    <s v="Social"/>
    <x v="0"/>
    <n v="1"/>
    <n v="1"/>
    <n v="0"/>
    <n v="0"/>
    <n v="0"/>
    <n v="0"/>
    <n v="0"/>
    <m/>
    <n v="55.8"/>
    <n v="1"/>
  </r>
  <r>
    <s v="USR-100765"/>
    <d v="2025-03-25T00:00:00"/>
    <x v="1"/>
    <x v="3"/>
    <x v="0"/>
    <s v="Organic"/>
    <x v="0"/>
    <n v="0"/>
    <n v="0"/>
    <n v="0"/>
    <n v="0"/>
    <n v="0"/>
    <n v="1"/>
    <n v="0"/>
    <m/>
    <n v="60.1"/>
    <n v="1"/>
  </r>
  <r>
    <s v="USR-100766"/>
    <d v="2025-01-14T00:00:00"/>
    <x v="1"/>
    <x v="1"/>
    <x v="3"/>
    <s v="Email"/>
    <x v="0"/>
    <n v="1"/>
    <n v="1"/>
    <n v="1"/>
    <n v="0"/>
    <n v="0"/>
    <n v="1"/>
    <n v="0"/>
    <m/>
    <n v="59.3"/>
    <n v="1"/>
  </r>
  <r>
    <s v="USR-100767"/>
    <d v="2025-03-26T00:00:00"/>
    <x v="1"/>
    <x v="0"/>
    <x v="1"/>
    <s v="Organic"/>
    <x v="1"/>
    <n v="1"/>
    <n v="1"/>
    <n v="0"/>
    <n v="0"/>
    <n v="0"/>
    <n v="2"/>
    <n v="0"/>
    <m/>
    <n v="49.3"/>
    <n v="1"/>
  </r>
  <r>
    <s v="USR-100768"/>
    <d v="2025-01-16T00:00:00"/>
    <x v="1"/>
    <x v="2"/>
    <x v="1"/>
    <s v="Referral"/>
    <x v="1"/>
    <n v="1"/>
    <n v="0"/>
    <n v="0"/>
    <n v="0"/>
    <n v="0"/>
    <n v="0"/>
    <n v="0"/>
    <m/>
    <n v="75"/>
    <n v="1"/>
  </r>
  <r>
    <s v="USR-100769"/>
    <d v="2025-01-04T00:00:00"/>
    <x v="1"/>
    <x v="2"/>
    <x v="1"/>
    <s v="Social"/>
    <x v="1"/>
    <n v="1"/>
    <n v="0"/>
    <n v="0"/>
    <n v="0"/>
    <n v="0"/>
    <n v="0"/>
    <n v="0"/>
    <m/>
    <n v="70.2"/>
    <n v="1"/>
  </r>
  <r>
    <s v="USR-100770"/>
    <d v="2025-02-09T00:00:00"/>
    <x v="1"/>
    <x v="3"/>
    <x v="0"/>
    <s v="Organic"/>
    <x v="2"/>
    <n v="1"/>
    <n v="1"/>
    <n v="1"/>
    <n v="0"/>
    <n v="0"/>
    <n v="0"/>
    <n v="0"/>
    <m/>
    <n v="56.6"/>
    <n v="1"/>
  </r>
  <r>
    <s v="USR-100771"/>
    <d v="2025-03-05T00:00:00"/>
    <x v="1"/>
    <x v="2"/>
    <x v="0"/>
    <s v="Organic"/>
    <x v="1"/>
    <n v="1"/>
    <n v="0"/>
    <n v="0"/>
    <n v="0"/>
    <n v="0"/>
    <n v="0"/>
    <n v="0"/>
    <m/>
    <n v="65.400000000000006"/>
    <n v="1"/>
  </r>
  <r>
    <s v="USR-100772"/>
    <d v="2025-03-10T00:00:00"/>
    <x v="1"/>
    <x v="2"/>
    <x v="1"/>
    <s v="Referral"/>
    <x v="0"/>
    <n v="1"/>
    <n v="0"/>
    <n v="0"/>
    <n v="0"/>
    <n v="0"/>
    <n v="0"/>
    <n v="0"/>
    <m/>
    <n v="47.6"/>
    <n v="1"/>
  </r>
  <r>
    <s v="USR-100773"/>
    <d v="2025-02-27T00:00:00"/>
    <x v="1"/>
    <x v="2"/>
    <x v="0"/>
    <s v="Paid Search"/>
    <x v="1"/>
    <n v="1"/>
    <n v="0"/>
    <n v="0"/>
    <n v="0"/>
    <n v="0"/>
    <n v="0"/>
    <n v="0"/>
    <m/>
    <n v="56.7"/>
    <n v="1"/>
  </r>
  <r>
    <s v="USR-100774"/>
    <d v="2025-03-10T00:00:00"/>
    <x v="1"/>
    <x v="0"/>
    <x v="0"/>
    <s v="Referral"/>
    <x v="0"/>
    <n v="1"/>
    <n v="1"/>
    <n v="0"/>
    <n v="0"/>
    <n v="0"/>
    <n v="0"/>
    <n v="0"/>
    <m/>
    <n v="71.400000000000006"/>
    <n v="1"/>
  </r>
  <r>
    <s v="USR-100775"/>
    <d v="2025-04-23T00:00:00"/>
    <x v="1"/>
    <x v="1"/>
    <x v="1"/>
    <s v="Social"/>
    <x v="1"/>
    <n v="0"/>
    <n v="0"/>
    <n v="0"/>
    <n v="0"/>
    <n v="0"/>
    <n v="2"/>
    <n v="0"/>
    <m/>
    <n v="60.5"/>
    <n v="1"/>
  </r>
  <r>
    <s v="USR-100776"/>
    <d v="2025-04-12T00:00:00"/>
    <x v="1"/>
    <x v="0"/>
    <x v="0"/>
    <s v="Paid Search"/>
    <x v="1"/>
    <n v="1"/>
    <n v="0"/>
    <n v="0"/>
    <n v="0"/>
    <n v="0"/>
    <n v="0"/>
    <n v="0"/>
    <m/>
    <n v="46.7"/>
    <n v="1"/>
  </r>
  <r>
    <s v="USR-100777"/>
    <d v="2025-01-26T00:00:00"/>
    <x v="1"/>
    <x v="2"/>
    <x v="0"/>
    <s v="Referral"/>
    <x v="1"/>
    <n v="0"/>
    <n v="0"/>
    <n v="0"/>
    <n v="0"/>
    <n v="0"/>
    <n v="0"/>
    <n v="0"/>
    <m/>
    <n v="61"/>
    <n v="1"/>
  </r>
  <r>
    <s v="USR-100778"/>
    <d v="2025-05-24T00:00:00"/>
    <x v="1"/>
    <x v="1"/>
    <x v="2"/>
    <s v="Paid Search"/>
    <x v="1"/>
    <n v="0"/>
    <n v="0"/>
    <n v="0"/>
    <n v="0"/>
    <n v="0"/>
    <n v="0"/>
    <n v="0"/>
    <m/>
    <n v="60.9"/>
    <n v="1"/>
  </r>
  <r>
    <s v="USR-100779"/>
    <d v="2025-01-08T00:00:00"/>
    <x v="1"/>
    <x v="3"/>
    <x v="1"/>
    <s v="Organic"/>
    <x v="1"/>
    <n v="1"/>
    <n v="0"/>
    <n v="0"/>
    <n v="0"/>
    <n v="0"/>
    <n v="0"/>
    <n v="0"/>
    <m/>
    <n v="67.099999999999994"/>
    <n v="1"/>
  </r>
  <r>
    <s v="USR-100780"/>
    <d v="2025-04-15T00:00:00"/>
    <x v="1"/>
    <x v="0"/>
    <x v="1"/>
    <s v="Referral"/>
    <x v="1"/>
    <n v="1"/>
    <n v="1"/>
    <n v="0"/>
    <n v="0"/>
    <n v="0"/>
    <n v="0"/>
    <n v="0"/>
    <m/>
    <n v="59.6"/>
    <n v="1"/>
  </r>
  <r>
    <s v="USR-100781"/>
    <d v="2025-01-15T00:00:00"/>
    <x v="1"/>
    <x v="3"/>
    <x v="0"/>
    <s v="Paid Search"/>
    <x v="1"/>
    <n v="1"/>
    <n v="0"/>
    <n v="0"/>
    <n v="0"/>
    <n v="0"/>
    <n v="0"/>
    <n v="0"/>
    <m/>
    <n v="83.8"/>
    <n v="1"/>
  </r>
  <r>
    <s v="USR-100782"/>
    <d v="2025-02-28T00:00:00"/>
    <x v="1"/>
    <x v="0"/>
    <x v="1"/>
    <s v="Organic"/>
    <x v="0"/>
    <n v="1"/>
    <n v="1"/>
    <n v="1"/>
    <n v="0"/>
    <n v="0"/>
    <n v="0"/>
    <n v="0"/>
    <m/>
    <n v="70.8"/>
    <n v="1"/>
  </r>
  <r>
    <s v="USR-100783"/>
    <d v="2025-01-01T00:00:00"/>
    <x v="1"/>
    <x v="0"/>
    <x v="2"/>
    <s v="Organic"/>
    <x v="0"/>
    <n v="0"/>
    <n v="0"/>
    <n v="0"/>
    <n v="0"/>
    <n v="0"/>
    <n v="0"/>
    <n v="0"/>
    <m/>
    <n v="65.900000000000006"/>
    <n v="1"/>
  </r>
  <r>
    <s v="USR-100784"/>
    <d v="2025-04-17T00:00:00"/>
    <x v="1"/>
    <x v="1"/>
    <x v="1"/>
    <s v="Referral"/>
    <x v="1"/>
    <n v="1"/>
    <n v="0"/>
    <n v="0"/>
    <n v="0"/>
    <n v="0"/>
    <n v="0"/>
    <n v="0"/>
    <m/>
    <n v="58"/>
    <n v="1"/>
  </r>
  <r>
    <s v="USR-100785"/>
    <d v="2025-02-19T00:00:00"/>
    <x v="1"/>
    <x v="0"/>
    <x v="1"/>
    <s v="Email"/>
    <x v="0"/>
    <n v="1"/>
    <n v="1"/>
    <n v="0"/>
    <n v="0"/>
    <n v="0"/>
    <n v="0"/>
    <n v="0"/>
    <m/>
    <n v="80.3"/>
    <n v="1"/>
  </r>
  <r>
    <s v="USR-100786"/>
    <d v="2025-03-14T00:00:00"/>
    <x v="1"/>
    <x v="0"/>
    <x v="0"/>
    <s v="Organic"/>
    <x v="1"/>
    <n v="1"/>
    <n v="0"/>
    <n v="0"/>
    <n v="0"/>
    <n v="0"/>
    <n v="0"/>
    <n v="0"/>
    <m/>
    <n v="55.7"/>
    <n v="1"/>
  </r>
  <r>
    <s v="USR-100787"/>
    <d v="2025-04-21T00:00:00"/>
    <x v="1"/>
    <x v="0"/>
    <x v="1"/>
    <s v="Organic"/>
    <x v="1"/>
    <n v="1"/>
    <n v="1"/>
    <n v="0"/>
    <n v="0"/>
    <n v="0"/>
    <n v="0"/>
    <n v="0"/>
    <m/>
    <n v="84.9"/>
    <n v="1"/>
  </r>
  <r>
    <s v="USR-100788"/>
    <d v="2025-02-14T00:00:00"/>
    <x v="1"/>
    <x v="0"/>
    <x v="1"/>
    <s v="Organic"/>
    <x v="1"/>
    <n v="1"/>
    <n v="0"/>
    <n v="0"/>
    <n v="0"/>
    <n v="0"/>
    <n v="0"/>
    <n v="0"/>
    <m/>
    <n v="63.3"/>
    <n v="1"/>
  </r>
  <r>
    <s v="USR-100789"/>
    <d v="2025-05-30T00:00:00"/>
    <x v="1"/>
    <x v="1"/>
    <x v="1"/>
    <s v="Organic"/>
    <x v="1"/>
    <n v="0"/>
    <n v="0"/>
    <n v="0"/>
    <n v="0"/>
    <n v="0"/>
    <n v="0"/>
    <n v="0"/>
    <m/>
    <n v="53.1"/>
    <n v="1"/>
  </r>
  <r>
    <s v="USR-100790"/>
    <d v="2025-01-20T00:00:00"/>
    <x v="1"/>
    <x v="1"/>
    <x v="1"/>
    <s v="Organic"/>
    <x v="1"/>
    <n v="0"/>
    <n v="0"/>
    <n v="0"/>
    <n v="0"/>
    <n v="0"/>
    <n v="0"/>
    <n v="0"/>
    <m/>
    <n v="66"/>
    <n v="1"/>
  </r>
  <r>
    <s v="USR-100791"/>
    <d v="2025-03-17T00:00:00"/>
    <x v="1"/>
    <x v="1"/>
    <x v="1"/>
    <s v="Social"/>
    <x v="2"/>
    <n v="0"/>
    <n v="0"/>
    <n v="0"/>
    <n v="0"/>
    <n v="0"/>
    <n v="0"/>
    <n v="0"/>
    <m/>
    <n v="54.7"/>
    <n v="1"/>
  </r>
  <r>
    <s v="USR-100792"/>
    <d v="2025-03-04T00:00:00"/>
    <x v="1"/>
    <x v="1"/>
    <x v="1"/>
    <s v="Social"/>
    <x v="1"/>
    <n v="1"/>
    <n v="1"/>
    <n v="0"/>
    <n v="0"/>
    <n v="0"/>
    <n v="1"/>
    <n v="0"/>
    <m/>
    <n v="41.2"/>
    <n v="1"/>
  </r>
  <r>
    <s v="USR-100793"/>
    <d v="2025-02-22T00:00:00"/>
    <x v="1"/>
    <x v="3"/>
    <x v="1"/>
    <s v="Organic"/>
    <x v="2"/>
    <n v="0"/>
    <n v="0"/>
    <n v="0"/>
    <n v="0"/>
    <n v="0"/>
    <n v="0"/>
    <n v="0"/>
    <m/>
    <n v="66.7"/>
    <n v="1"/>
  </r>
  <r>
    <s v="USR-100794"/>
    <d v="2025-05-02T00:00:00"/>
    <x v="1"/>
    <x v="0"/>
    <x v="1"/>
    <s v="Paid Search"/>
    <x v="2"/>
    <n v="0"/>
    <n v="0"/>
    <n v="0"/>
    <n v="0"/>
    <n v="0"/>
    <n v="0"/>
    <n v="0"/>
    <m/>
    <n v="39.4"/>
    <n v="1"/>
  </r>
  <r>
    <s v="USR-100795"/>
    <d v="2025-03-13T00:00:00"/>
    <x v="1"/>
    <x v="1"/>
    <x v="0"/>
    <s v="Organic"/>
    <x v="2"/>
    <n v="0"/>
    <n v="0"/>
    <n v="0"/>
    <n v="0"/>
    <n v="0"/>
    <n v="3"/>
    <n v="0"/>
    <m/>
    <n v="67"/>
    <n v="1"/>
  </r>
  <r>
    <s v="USR-100796"/>
    <d v="2025-05-31T00:00:00"/>
    <x v="1"/>
    <x v="3"/>
    <x v="1"/>
    <s v="Organic"/>
    <x v="0"/>
    <n v="1"/>
    <n v="0"/>
    <n v="0"/>
    <n v="0"/>
    <n v="0"/>
    <n v="0"/>
    <n v="0"/>
    <m/>
    <n v="50.4"/>
    <n v="1"/>
  </r>
  <r>
    <s v="USR-100797"/>
    <d v="2025-03-07T00:00:00"/>
    <x v="1"/>
    <x v="1"/>
    <x v="0"/>
    <s v="Social"/>
    <x v="1"/>
    <n v="1"/>
    <n v="0"/>
    <n v="0"/>
    <n v="0"/>
    <n v="0"/>
    <n v="0"/>
    <n v="0"/>
    <m/>
    <n v="53.8"/>
    <n v="1"/>
  </r>
  <r>
    <s v="USR-100798"/>
    <d v="2025-02-22T00:00:00"/>
    <x v="1"/>
    <x v="1"/>
    <x v="1"/>
    <s v="Paid Search"/>
    <x v="0"/>
    <n v="0"/>
    <n v="0"/>
    <n v="0"/>
    <n v="0"/>
    <n v="0"/>
    <n v="1"/>
    <n v="0"/>
    <m/>
    <n v="82.7"/>
    <n v="1"/>
  </r>
  <r>
    <s v="USR-100799"/>
    <d v="2025-01-05T00:00:00"/>
    <x v="1"/>
    <x v="1"/>
    <x v="0"/>
    <s v="Paid Search"/>
    <x v="1"/>
    <n v="1"/>
    <n v="1"/>
    <n v="1"/>
    <n v="0"/>
    <n v="0"/>
    <n v="0"/>
    <n v="0"/>
    <m/>
    <n v="63.9"/>
    <n v="1"/>
  </r>
  <r>
    <s v="USR-100800"/>
    <d v="2025-01-21T00:00:00"/>
    <x v="1"/>
    <x v="1"/>
    <x v="1"/>
    <s v="Referral"/>
    <x v="1"/>
    <n v="1"/>
    <n v="0"/>
    <n v="0"/>
    <n v="0"/>
    <n v="0"/>
    <n v="0"/>
    <n v="0"/>
    <m/>
    <n v="61.9"/>
    <n v="1"/>
  </r>
  <r>
    <s v="USR-100801"/>
    <d v="2025-01-25T00:00:00"/>
    <x v="1"/>
    <x v="0"/>
    <x v="0"/>
    <s v="Social"/>
    <x v="1"/>
    <n v="1"/>
    <n v="1"/>
    <n v="1"/>
    <n v="0"/>
    <n v="0"/>
    <n v="0"/>
    <n v="0"/>
    <m/>
    <n v="75"/>
    <n v="1"/>
  </r>
  <r>
    <s v="USR-100802"/>
    <d v="2025-04-04T00:00:00"/>
    <x v="1"/>
    <x v="1"/>
    <x v="1"/>
    <s v="Paid Search"/>
    <x v="0"/>
    <n v="1"/>
    <n v="1"/>
    <n v="1"/>
    <n v="0"/>
    <n v="0"/>
    <n v="0"/>
    <n v="0"/>
    <m/>
    <n v="43"/>
    <n v="1"/>
  </r>
  <r>
    <s v="USR-100803"/>
    <d v="2025-03-25T00:00:00"/>
    <x v="1"/>
    <x v="0"/>
    <x v="0"/>
    <s v="Social"/>
    <x v="2"/>
    <n v="0"/>
    <n v="0"/>
    <n v="0"/>
    <n v="0"/>
    <n v="0"/>
    <n v="0"/>
    <n v="0"/>
    <m/>
    <n v="54.3"/>
    <n v="1"/>
  </r>
  <r>
    <s v="USR-100804"/>
    <d v="2025-03-19T00:00:00"/>
    <x v="1"/>
    <x v="1"/>
    <x v="1"/>
    <s v="Social"/>
    <x v="1"/>
    <n v="0"/>
    <n v="0"/>
    <n v="0"/>
    <n v="0"/>
    <n v="0"/>
    <n v="2"/>
    <n v="0"/>
    <m/>
    <n v="44.3"/>
    <n v="1"/>
  </r>
  <r>
    <s v="USR-100805"/>
    <d v="2025-04-24T00:00:00"/>
    <x v="1"/>
    <x v="1"/>
    <x v="0"/>
    <s v="Organic"/>
    <x v="1"/>
    <n v="1"/>
    <n v="1"/>
    <n v="1"/>
    <n v="1"/>
    <n v="402.88"/>
    <n v="0"/>
    <n v="0"/>
    <n v="12"/>
    <n v="76"/>
    <n v="1"/>
  </r>
  <r>
    <s v="USR-100806"/>
    <d v="2025-04-04T00:00:00"/>
    <x v="1"/>
    <x v="3"/>
    <x v="2"/>
    <s v="Organic"/>
    <x v="1"/>
    <n v="1"/>
    <n v="0"/>
    <n v="0"/>
    <n v="0"/>
    <n v="0"/>
    <n v="2"/>
    <n v="0"/>
    <m/>
    <n v="65.3"/>
    <n v="1"/>
  </r>
  <r>
    <s v="USR-100807"/>
    <d v="2025-03-28T00:00:00"/>
    <x v="1"/>
    <x v="3"/>
    <x v="0"/>
    <s v="Paid Search"/>
    <x v="2"/>
    <n v="1"/>
    <n v="0"/>
    <n v="0"/>
    <n v="0"/>
    <n v="0"/>
    <n v="0"/>
    <n v="0"/>
    <m/>
    <n v="71.2"/>
    <n v="1"/>
  </r>
  <r>
    <s v="USR-100808"/>
    <d v="2025-05-15T00:00:00"/>
    <x v="1"/>
    <x v="3"/>
    <x v="2"/>
    <s v="Paid Search"/>
    <x v="1"/>
    <n v="1"/>
    <n v="0"/>
    <n v="0"/>
    <n v="0"/>
    <n v="0"/>
    <n v="0"/>
    <n v="0"/>
    <m/>
    <n v="77.900000000000006"/>
    <n v="1"/>
  </r>
  <r>
    <s v="USR-100809"/>
    <d v="2025-03-13T00:00:00"/>
    <x v="1"/>
    <x v="1"/>
    <x v="1"/>
    <s v="Paid Search"/>
    <x v="1"/>
    <n v="0"/>
    <n v="0"/>
    <n v="0"/>
    <n v="0"/>
    <n v="0"/>
    <n v="0"/>
    <n v="0"/>
    <m/>
    <n v="48.6"/>
    <n v="1"/>
  </r>
  <r>
    <s v="USR-100810"/>
    <d v="2025-03-26T00:00:00"/>
    <x v="1"/>
    <x v="0"/>
    <x v="1"/>
    <s v="Social"/>
    <x v="2"/>
    <n v="1"/>
    <n v="0"/>
    <n v="0"/>
    <n v="0"/>
    <n v="0"/>
    <n v="0"/>
    <n v="0"/>
    <m/>
    <n v="61.9"/>
    <n v="1"/>
  </r>
  <r>
    <s v="USR-100811"/>
    <d v="2025-01-09T00:00:00"/>
    <x v="1"/>
    <x v="0"/>
    <x v="1"/>
    <s v="Social"/>
    <x v="0"/>
    <n v="0"/>
    <n v="0"/>
    <n v="0"/>
    <n v="0"/>
    <n v="0"/>
    <n v="1"/>
    <n v="0"/>
    <m/>
    <n v="58.7"/>
    <n v="1"/>
  </r>
  <r>
    <s v="USR-100812"/>
    <d v="2025-05-06T00:00:00"/>
    <x v="1"/>
    <x v="3"/>
    <x v="0"/>
    <s v="Paid Search"/>
    <x v="1"/>
    <n v="1"/>
    <n v="0"/>
    <n v="0"/>
    <n v="0"/>
    <n v="0"/>
    <n v="0"/>
    <n v="0"/>
    <m/>
    <n v="69.599999999999994"/>
    <n v="1"/>
  </r>
  <r>
    <s v="USR-100813"/>
    <d v="2025-02-17T00:00:00"/>
    <x v="1"/>
    <x v="3"/>
    <x v="1"/>
    <s v="Organic"/>
    <x v="1"/>
    <n v="1"/>
    <n v="0"/>
    <n v="0"/>
    <n v="0"/>
    <n v="0"/>
    <n v="0"/>
    <n v="0"/>
    <m/>
    <n v="51.5"/>
    <n v="1"/>
  </r>
  <r>
    <s v="USR-100814"/>
    <d v="2025-04-05T00:00:00"/>
    <x v="1"/>
    <x v="2"/>
    <x v="1"/>
    <s v="Paid Search"/>
    <x v="1"/>
    <n v="1"/>
    <n v="1"/>
    <n v="1"/>
    <n v="1"/>
    <n v="277.69"/>
    <n v="3"/>
    <n v="0"/>
    <n v="8"/>
    <n v="46"/>
    <n v="1"/>
  </r>
  <r>
    <s v="USR-100815"/>
    <d v="2025-04-13T00:00:00"/>
    <x v="1"/>
    <x v="1"/>
    <x v="2"/>
    <s v="Organic"/>
    <x v="1"/>
    <n v="1"/>
    <n v="0"/>
    <n v="0"/>
    <n v="0"/>
    <n v="0"/>
    <n v="0"/>
    <n v="0"/>
    <m/>
    <n v="81.7"/>
    <n v="1"/>
  </r>
  <r>
    <s v="USR-100816"/>
    <d v="2025-05-20T00:00:00"/>
    <x v="1"/>
    <x v="2"/>
    <x v="0"/>
    <s v="Referral"/>
    <x v="1"/>
    <n v="1"/>
    <n v="0"/>
    <n v="0"/>
    <n v="0"/>
    <n v="0"/>
    <n v="0"/>
    <n v="0"/>
    <m/>
    <n v="48.3"/>
    <n v="1"/>
  </r>
  <r>
    <s v="USR-100817"/>
    <d v="2025-03-31T00:00:00"/>
    <x v="1"/>
    <x v="2"/>
    <x v="1"/>
    <s v="Email"/>
    <x v="1"/>
    <n v="1"/>
    <n v="1"/>
    <n v="0"/>
    <n v="0"/>
    <n v="0"/>
    <n v="0"/>
    <n v="0"/>
    <m/>
    <n v="85.6"/>
    <n v="1"/>
  </r>
  <r>
    <s v="USR-100818"/>
    <d v="2025-04-03T00:00:00"/>
    <x v="1"/>
    <x v="1"/>
    <x v="2"/>
    <s v="Paid Search"/>
    <x v="0"/>
    <n v="1"/>
    <n v="0"/>
    <n v="0"/>
    <n v="0"/>
    <n v="0"/>
    <n v="0"/>
    <n v="0"/>
    <m/>
    <n v="53.8"/>
    <n v="1"/>
  </r>
  <r>
    <s v="USR-100819"/>
    <d v="2025-02-04T00:00:00"/>
    <x v="1"/>
    <x v="3"/>
    <x v="1"/>
    <s v="Organic"/>
    <x v="1"/>
    <n v="1"/>
    <n v="1"/>
    <n v="1"/>
    <n v="1"/>
    <n v="460.83"/>
    <n v="2"/>
    <n v="0"/>
    <n v="0"/>
    <n v="69.7"/>
    <n v="1"/>
  </r>
  <r>
    <s v="USR-100820"/>
    <d v="2025-05-19T00:00:00"/>
    <x v="1"/>
    <x v="2"/>
    <x v="1"/>
    <s v="Organic"/>
    <x v="1"/>
    <n v="1"/>
    <n v="0"/>
    <n v="0"/>
    <n v="0"/>
    <n v="0"/>
    <n v="0"/>
    <n v="0"/>
    <m/>
    <n v="74.8"/>
    <n v="1"/>
  </r>
  <r>
    <s v="USR-100821"/>
    <d v="2025-03-08T00:00:00"/>
    <x v="1"/>
    <x v="2"/>
    <x v="0"/>
    <s v="Paid Search"/>
    <x v="0"/>
    <n v="0"/>
    <n v="0"/>
    <n v="0"/>
    <n v="0"/>
    <n v="0"/>
    <n v="0"/>
    <n v="0"/>
    <m/>
    <n v="87.9"/>
    <n v="1"/>
  </r>
  <r>
    <s v="USR-100822"/>
    <d v="2025-05-10T00:00:00"/>
    <x v="1"/>
    <x v="0"/>
    <x v="1"/>
    <s v="Social"/>
    <x v="0"/>
    <n v="1"/>
    <n v="0"/>
    <n v="0"/>
    <n v="0"/>
    <n v="0"/>
    <n v="1"/>
    <n v="0"/>
    <m/>
    <n v="49.1"/>
    <n v="1"/>
  </r>
  <r>
    <s v="USR-100823"/>
    <d v="2025-01-02T00:00:00"/>
    <x v="1"/>
    <x v="2"/>
    <x v="0"/>
    <s v="Social"/>
    <x v="0"/>
    <n v="1"/>
    <n v="0"/>
    <n v="0"/>
    <n v="0"/>
    <n v="0"/>
    <n v="2"/>
    <n v="0"/>
    <m/>
    <n v="73"/>
    <n v="1"/>
  </r>
  <r>
    <s v="USR-100824"/>
    <d v="2025-01-17T00:00:00"/>
    <x v="1"/>
    <x v="1"/>
    <x v="1"/>
    <s v="Organic"/>
    <x v="0"/>
    <n v="0"/>
    <n v="0"/>
    <n v="0"/>
    <n v="0"/>
    <n v="0"/>
    <n v="0"/>
    <n v="0"/>
    <m/>
    <n v="79.5"/>
    <n v="1"/>
  </r>
  <r>
    <s v="USR-100825"/>
    <d v="2025-05-21T00:00:00"/>
    <x v="1"/>
    <x v="1"/>
    <x v="1"/>
    <s v="Referral"/>
    <x v="0"/>
    <n v="1"/>
    <n v="1"/>
    <n v="1"/>
    <n v="1"/>
    <n v="782.23"/>
    <n v="1"/>
    <n v="0"/>
    <n v="6"/>
    <n v="93.2"/>
    <n v="1"/>
  </r>
  <r>
    <s v="USR-100826"/>
    <d v="2025-05-25T00:00:00"/>
    <x v="1"/>
    <x v="2"/>
    <x v="0"/>
    <s v="Referral"/>
    <x v="1"/>
    <n v="1"/>
    <n v="0"/>
    <n v="0"/>
    <n v="0"/>
    <n v="0"/>
    <n v="3"/>
    <n v="0"/>
    <m/>
    <n v="77.5"/>
    <n v="1"/>
  </r>
  <r>
    <s v="USR-100827"/>
    <d v="2025-01-05T00:00:00"/>
    <x v="1"/>
    <x v="1"/>
    <x v="1"/>
    <s v="Email"/>
    <x v="0"/>
    <n v="1"/>
    <n v="0"/>
    <n v="0"/>
    <n v="0"/>
    <n v="0"/>
    <n v="0"/>
    <n v="0"/>
    <m/>
    <n v="61"/>
    <n v="1"/>
  </r>
  <r>
    <s v="USR-100828"/>
    <d v="2025-02-24T00:00:00"/>
    <x v="1"/>
    <x v="3"/>
    <x v="0"/>
    <s v="Organic"/>
    <x v="1"/>
    <n v="1"/>
    <n v="1"/>
    <n v="0"/>
    <n v="0"/>
    <n v="0"/>
    <n v="0"/>
    <n v="0"/>
    <m/>
    <n v="64.900000000000006"/>
    <n v="1"/>
  </r>
  <r>
    <s v="USR-100829"/>
    <d v="2025-01-21T00:00:00"/>
    <x v="1"/>
    <x v="2"/>
    <x v="1"/>
    <s v="Paid Search"/>
    <x v="0"/>
    <n v="1"/>
    <n v="0"/>
    <n v="0"/>
    <n v="0"/>
    <n v="0"/>
    <n v="0"/>
    <n v="0"/>
    <m/>
    <n v="87.5"/>
    <n v="1"/>
  </r>
  <r>
    <s v="USR-100830"/>
    <d v="2025-04-24T00:00:00"/>
    <x v="1"/>
    <x v="0"/>
    <x v="1"/>
    <s v="Organic"/>
    <x v="0"/>
    <n v="1"/>
    <n v="1"/>
    <n v="1"/>
    <n v="1"/>
    <n v="1171.99"/>
    <n v="0"/>
    <n v="0"/>
    <n v="5"/>
    <n v="80.599999999999994"/>
    <n v="1"/>
  </r>
  <r>
    <s v="USR-100831"/>
    <d v="2025-01-07T00:00:00"/>
    <x v="1"/>
    <x v="1"/>
    <x v="0"/>
    <s v="Organic"/>
    <x v="1"/>
    <n v="1"/>
    <n v="0"/>
    <n v="0"/>
    <n v="0"/>
    <n v="0"/>
    <n v="0"/>
    <n v="0"/>
    <m/>
    <n v="66.900000000000006"/>
    <n v="1"/>
  </r>
  <r>
    <s v="USR-100832"/>
    <d v="2025-05-31T00:00:00"/>
    <x v="1"/>
    <x v="3"/>
    <x v="2"/>
    <s v="Organic"/>
    <x v="0"/>
    <n v="1"/>
    <n v="1"/>
    <n v="1"/>
    <n v="0"/>
    <n v="0"/>
    <n v="0"/>
    <n v="0"/>
    <m/>
    <n v="58.8"/>
    <n v="1"/>
  </r>
  <r>
    <s v="USR-100833"/>
    <d v="2025-04-02T00:00:00"/>
    <x v="1"/>
    <x v="0"/>
    <x v="0"/>
    <s v="Organic"/>
    <x v="0"/>
    <n v="1"/>
    <n v="1"/>
    <n v="1"/>
    <n v="1"/>
    <n v="1010.4"/>
    <n v="0"/>
    <n v="0"/>
    <n v="4"/>
    <n v="42.9"/>
    <n v="1"/>
  </r>
  <r>
    <s v="USR-100834"/>
    <d v="2025-04-21T00:00:00"/>
    <x v="1"/>
    <x v="2"/>
    <x v="1"/>
    <s v="Organic"/>
    <x v="1"/>
    <n v="1"/>
    <n v="1"/>
    <n v="1"/>
    <n v="0"/>
    <n v="0"/>
    <n v="1"/>
    <n v="0"/>
    <m/>
    <n v="60.2"/>
    <n v="1"/>
  </r>
  <r>
    <s v="USR-100835"/>
    <d v="2025-05-05T00:00:00"/>
    <x v="1"/>
    <x v="2"/>
    <x v="1"/>
    <s v="Paid Search"/>
    <x v="0"/>
    <n v="1"/>
    <n v="0"/>
    <n v="0"/>
    <n v="0"/>
    <n v="0"/>
    <n v="0"/>
    <n v="0"/>
    <m/>
    <n v="42.7"/>
    <n v="1"/>
  </r>
  <r>
    <s v="USR-100836"/>
    <d v="2025-01-06T00:00:00"/>
    <x v="1"/>
    <x v="0"/>
    <x v="0"/>
    <s v="Social"/>
    <x v="1"/>
    <n v="1"/>
    <n v="1"/>
    <n v="1"/>
    <n v="1"/>
    <n v="431.27"/>
    <n v="0"/>
    <n v="0"/>
    <n v="7"/>
    <n v="60.8"/>
    <n v="1"/>
  </r>
  <r>
    <s v="USR-100837"/>
    <d v="2025-04-24T00:00:00"/>
    <x v="1"/>
    <x v="3"/>
    <x v="1"/>
    <s v="Referral"/>
    <x v="1"/>
    <n v="1"/>
    <n v="1"/>
    <n v="1"/>
    <n v="1"/>
    <n v="428.8"/>
    <n v="0"/>
    <n v="0"/>
    <n v="9"/>
    <n v="79.3"/>
    <n v="1"/>
  </r>
  <r>
    <s v="USR-100838"/>
    <d v="2025-04-21T00:00:00"/>
    <x v="1"/>
    <x v="3"/>
    <x v="1"/>
    <s v="Organic"/>
    <x v="0"/>
    <n v="1"/>
    <n v="0"/>
    <n v="0"/>
    <n v="0"/>
    <n v="0"/>
    <n v="1"/>
    <n v="0"/>
    <m/>
    <n v="88.6"/>
    <n v="1"/>
  </r>
  <r>
    <s v="USR-100839"/>
    <d v="2025-02-09T00:00:00"/>
    <x v="1"/>
    <x v="1"/>
    <x v="1"/>
    <s v="Organic"/>
    <x v="0"/>
    <n v="1"/>
    <n v="1"/>
    <n v="1"/>
    <n v="0"/>
    <n v="0"/>
    <n v="0"/>
    <n v="0"/>
    <m/>
    <n v="63.1"/>
    <n v="1"/>
  </r>
  <r>
    <s v="USR-100840"/>
    <d v="2025-01-09T00:00:00"/>
    <x v="1"/>
    <x v="2"/>
    <x v="1"/>
    <s v="Organic"/>
    <x v="2"/>
    <n v="1"/>
    <n v="0"/>
    <n v="0"/>
    <n v="0"/>
    <n v="0"/>
    <n v="0"/>
    <n v="0"/>
    <m/>
    <n v="39.700000000000003"/>
    <n v="1"/>
  </r>
  <r>
    <s v="USR-100841"/>
    <d v="2025-02-16T00:00:00"/>
    <x v="1"/>
    <x v="0"/>
    <x v="1"/>
    <s v="Paid Search"/>
    <x v="0"/>
    <n v="0"/>
    <n v="0"/>
    <n v="0"/>
    <n v="0"/>
    <n v="0"/>
    <n v="0"/>
    <n v="0"/>
    <m/>
    <n v="67.2"/>
    <n v="1"/>
  </r>
  <r>
    <s v="USR-100842"/>
    <d v="2025-02-21T00:00:00"/>
    <x v="1"/>
    <x v="3"/>
    <x v="1"/>
    <s v="Organic"/>
    <x v="1"/>
    <n v="1"/>
    <n v="1"/>
    <n v="1"/>
    <n v="0"/>
    <n v="0"/>
    <n v="0"/>
    <n v="0"/>
    <m/>
    <n v="62.3"/>
    <n v="1"/>
  </r>
  <r>
    <s v="USR-100843"/>
    <d v="2025-02-08T00:00:00"/>
    <x v="1"/>
    <x v="3"/>
    <x v="1"/>
    <s v="Organic"/>
    <x v="2"/>
    <n v="1"/>
    <n v="0"/>
    <n v="0"/>
    <n v="0"/>
    <n v="0"/>
    <n v="0"/>
    <n v="0"/>
    <m/>
    <m/>
    <n v="1"/>
  </r>
  <r>
    <s v="USR-100844"/>
    <d v="2025-01-22T00:00:00"/>
    <x v="1"/>
    <x v="3"/>
    <x v="1"/>
    <s v="Paid Search"/>
    <x v="2"/>
    <n v="0"/>
    <n v="0"/>
    <n v="0"/>
    <n v="0"/>
    <n v="0"/>
    <n v="0"/>
    <n v="0"/>
    <m/>
    <n v="60.7"/>
    <n v="1"/>
  </r>
  <r>
    <s v="USR-100845"/>
    <d v="2025-04-01T00:00:00"/>
    <x v="1"/>
    <x v="1"/>
    <x v="1"/>
    <s v="Organic"/>
    <x v="0"/>
    <n v="1"/>
    <n v="0"/>
    <n v="0"/>
    <n v="0"/>
    <n v="0"/>
    <n v="0"/>
    <n v="0"/>
    <m/>
    <n v="61.5"/>
    <n v="1"/>
  </r>
  <r>
    <s v="USR-100846"/>
    <d v="2025-01-21T00:00:00"/>
    <x v="1"/>
    <x v="0"/>
    <x v="1"/>
    <s v="Paid Search"/>
    <x v="0"/>
    <n v="1"/>
    <n v="0"/>
    <n v="0"/>
    <n v="0"/>
    <n v="0"/>
    <n v="0"/>
    <n v="0"/>
    <m/>
    <n v="75"/>
    <n v="1"/>
  </r>
  <r>
    <s v="USR-100847"/>
    <d v="2025-01-02T00:00:00"/>
    <x v="1"/>
    <x v="2"/>
    <x v="0"/>
    <s v="Organic"/>
    <x v="1"/>
    <n v="1"/>
    <n v="1"/>
    <n v="0"/>
    <n v="0"/>
    <n v="0"/>
    <n v="0"/>
    <n v="0"/>
    <m/>
    <n v="51.9"/>
    <n v="1"/>
  </r>
  <r>
    <s v="USR-100848"/>
    <d v="2025-05-12T00:00:00"/>
    <x v="1"/>
    <x v="3"/>
    <x v="0"/>
    <s v="Paid Search"/>
    <x v="1"/>
    <n v="0"/>
    <n v="0"/>
    <n v="0"/>
    <n v="0"/>
    <n v="0"/>
    <n v="0"/>
    <n v="0"/>
    <m/>
    <n v="34.5"/>
    <n v="1"/>
  </r>
  <r>
    <s v="USR-100849"/>
    <d v="2025-03-05T00:00:00"/>
    <x v="1"/>
    <x v="3"/>
    <x v="1"/>
    <s v="Social"/>
    <x v="0"/>
    <n v="0"/>
    <n v="0"/>
    <n v="0"/>
    <n v="0"/>
    <n v="0"/>
    <n v="0"/>
    <n v="0"/>
    <m/>
    <n v="54.5"/>
    <n v="1"/>
  </r>
  <r>
    <s v="USR-100850"/>
    <d v="2025-01-24T00:00:00"/>
    <x v="1"/>
    <x v="2"/>
    <x v="1"/>
    <s v="Organic"/>
    <x v="1"/>
    <n v="0"/>
    <n v="0"/>
    <n v="0"/>
    <n v="0"/>
    <n v="0"/>
    <n v="0"/>
    <n v="0"/>
    <m/>
    <n v="46"/>
    <n v="1"/>
  </r>
  <r>
    <s v="USR-100851"/>
    <d v="2025-01-31T00:00:00"/>
    <x v="1"/>
    <x v="2"/>
    <x v="0"/>
    <s v="Email"/>
    <x v="1"/>
    <n v="1"/>
    <n v="1"/>
    <n v="1"/>
    <n v="0"/>
    <n v="0"/>
    <n v="0"/>
    <n v="0"/>
    <m/>
    <n v="88.4"/>
    <n v="1"/>
  </r>
  <r>
    <s v="USR-100852"/>
    <d v="2025-01-24T00:00:00"/>
    <x v="1"/>
    <x v="0"/>
    <x v="2"/>
    <s v="Organic"/>
    <x v="0"/>
    <n v="1"/>
    <n v="0"/>
    <n v="0"/>
    <n v="0"/>
    <n v="0"/>
    <n v="0"/>
    <n v="0"/>
    <m/>
    <n v="69.5"/>
    <n v="1"/>
  </r>
  <r>
    <s v="USR-100853"/>
    <d v="2025-02-14T00:00:00"/>
    <x v="1"/>
    <x v="0"/>
    <x v="0"/>
    <s v="Referral"/>
    <x v="0"/>
    <n v="1"/>
    <n v="1"/>
    <n v="1"/>
    <n v="0"/>
    <n v="0"/>
    <n v="0"/>
    <n v="0"/>
    <m/>
    <n v="74.2"/>
    <n v="1"/>
  </r>
  <r>
    <s v="USR-100854"/>
    <d v="2025-05-27T00:00:00"/>
    <x v="1"/>
    <x v="0"/>
    <x v="1"/>
    <s v="Organic"/>
    <x v="1"/>
    <n v="1"/>
    <n v="1"/>
    <n v="1"/>
    <n v="0"/>
    <n v="0"/>
    <n v="0"/>
    <n v="0"/>
    <m/>
    <n v="72.099999999999994"/>
    <n v="1"/>
  </r>
  <r>
    <s v="USR-100855"/>
    <d v="2025-02-28T00:00:00"/>
    <x v="1"/>
    <x v="0"/>
    <x v="1"/>
    <s v="Paid Search"/>
    <x v="1"/>
    <n v="1"/>
    <n v="1"/>
    <n v="1"/>
    <n v="1"/>
    <n v="398.33"/>
    <n v="0"/>
    <n v="0"/>
    <n v="5"/>
    <n v="85.1"/>
    <n v="1"/>
  </r>
  <r>
    <s v="USR-100856"/>
    <d v="2025-05-27T00:00:00"/>
    <x v="1"/>
    <x v="0"/>
    <x v="1"/>
    <s v="Organic"/>
    <x v="0"/>
    <n v="1"/>
    <n v="1"/>
    <n v="1"/>
    <n v="0"/>
    <n v="0"/>
    <n v="0"/>
    <n v="0"/>
    <m/>
    <n v="49.5"/>
    <n v="1"/>
  </r>
  <r>
    <s v="USR-100857"/>
    <d v="2025-05-17T00:00:00"/>
    <x v="1"/>
    <x v="3"/>
    <x v="1"/>
    <s v="Paid Search"/>
    <x v="2"/>
    <n v="0"/>
    <n v="0"/>
    <n v="0"/>
    <n v="0"/>
    <n v="0"/>
    <n v="1"/>
    <n v="0"/>
    <m/>
    <n v="79"/>
    <n v="1"/>
  </r>
  <r>
    <s v="USR-100858"/>
    <d v="2025-01-10T00:00:00"/>
    <x v="1"/>
    <x v="1"/>
    <x v="0"/>
    <s v="Social"/>
    <x v="1"/>
    <n v="0"/>
    <n v="0"/>
    <n v="0"/>
    <n v="0"/>
    <n v="0"/>
    <n v="0"/>
    <n v="0"/>
    <m/>
    <n v="71.8"/>
    <n v="1"/>
  </r>
  <r>
    <s v="USR-100859"/>
    <d v="2025-04-22T00:00:00"/>
    <x v="1"/>
    <x v="0"/>
    <x v="1"/>
    <s v="Email"/>
    <x v="0"/>
    <n v="1"/>
    <n v="1"/>
    <n v="1"/>
    <n v="1"/>
    <n v="1117.54"/>
    <n v="0"/>
    <n v="0"/>
    <n v="6"/>
    <n v="60.4"/>
    <n v="1"/>
  </r>
  <r>
    <s v="USR-100860"/>
    <d v="2025-03-02T00:00:00"/>
    <x v="1"/>
    <x v="3"/>
    <x v="0"/>
    <s v="Organic"/>
    <x v="0"/>
    <n v="1"/>
    <n v="0"/>
    <n v="0"/>
    <n v="0"/>
    <n v="0"/>
    <n v="2"/>
    <n v="0"/>
    <m/>
    <n v="38.299999999999997"/>
    <n v="1"/>
  </r>
  <r>
    <s v="USR-100861"/>
    <d v="2025-03-23T00:00:00"/>
    <x v="1"/>
    <x v="2"/>
    <x v="1"/>
    <s v="Paid Search"/>
    <x v="1"/>
    <n v="1"/>
    <n v="1"/>
    <n v="1"/>
    <n v="0"/>
    <n v="0"/>
    <n v="0"/>
    <n v="0"/>
    <m/>
    <n v="79.599999999999994"/>
    <n v="1"/>
  </r>
  <r>
    <s v="USR-100862"/>
    <d v="2025-02-12T00:00:00"/>
    <x v="1"/>
    <x v="2"/>
    <x v="1"/>
    <s v="Email"/>
    <x v="1"/>
    <n v="1"/>
    <n v="1"/>
    <n v="1"/>
    <n v="0"/>
    <n v="0"/>
    <n v="0"/>
    <n v="0"/>
    <m/>
    <n v="71.900000000000006"/>
    <n v="1"/>
  </r>
  <r>
    <s v="USR-100863"/>
    <d v="2025-05-03T00:00:00"/>
    <x v="1"/>
    <x v="3"/>
    <x v="1"/>
    <s v="Referral"/>
    <x v="0"/>
    <n v="1"/>
    <n v="0"/>
    <n v="0"/>
    <n v="0"/>
    <n v="0"/>
    <n v="0"/>
    <n v="0"/>
    <m/>
    <n v="54.6"/>
    <n v="1"/>
  </r>
  <r>
    <s v="USR-100864"/>
    <d v="2025-03-28T00:00:00"/>
    <x v="1"/>
    <x v="0"/>
    <x v="0"/>
    <s v="Social"/>
    <x v="1"/>
    <n v="1"/>
    <n v="0"/>
    <n v="0"/>
    <n v="0"/>
    <n v="0"/>
    <n v="3"/>
    <n v="0"/>
    <m/>
    <n v="49.3"/>
    <n v="1"/>
  </r>
  <r>
    <s v="USR-100865"/>
    <d v="2025-03-12T00:00:00"/>
    <x v="1"/>
    <x v="0"/>
    <x v="1"/>
    <s v="Social"/>
    <x v="0"/>
    <n v="0"/>
    <n v="0"/>
    <n v="0"/>
    <n v="0"/>
    <n v="0"/>
    <n v="1"/>
    <n v="0"/>
    <m/>
    <n v="66.900000000000006"/>
    <n v="1"/>
  </r>
  <r>
    <s v="USR-100866"/>
    <d v="2025-04-27T00:00:00"/>
    <x v="1"/>
    <x v="2"/>
    <x v="1"/>
    <s v="Paid Search"/>
    <x v="1"/>
    <n v="1"/>
    <n v="0"/>
    <n v="0"/>
    <n v="0"/>
    <n v="0"/>
    <n v="1"/>
    <n v="0"/>
    <m/>
    <n v="77.8"/>
    <n v="1"/>
  </r>
  <r>
    <s v="USR-100867"/>
    <d v="2025-04-02T00:00:00"/>
    <x v="1"/>
    <x v="3"/>
    <x v="1"/>
    <s v="Referral"/>
    <x v="0"/>
    <n v="1"/>
    <n v="0"/>
    <n v="0"/>
    <n v="0"/>
    <n v="0"/>
    <n v="0"/>
    <n v="0"/>
    <m/>
    <n v="63"/>
    <n v="1"/>
  </r>
  <r>
    <s v="USR-100868"/>
    <d v="2025-04-21T00:00:00"/>
    <x v="1"/>
    <x v="0"/>
    <x v="1"/>
    <s v="Social"/>
    <x v="1"/>
    <n v="0"/>
    <n v="0"/>
    <n v="0"/>
    <n v="0"/>
    <n v="0"/>
    <n v="0"/>
    <n v="0"/>
    <m/>
    <n v="79.8"/>
    <n v="1"/>
  </r>
  <r>
    <s v="USR-100869"/>
    <d v="2025-01-26T00:00:00"/>
    <x v="1"/>
    <x v="1"/>
    <x v="0"/>
    <s v="Organic"/>
    <x v="0"/>
    <n v="0"/>
    <n v="0"/>
    <n v="0"/>
    <n v="0"/>
    <n v="0"/>
    <n v="0"/>
    <n v="0"/>
    <m/>
    <n v="69.900000000000006"/>
    <n v="1"/>
  </r>
  <r>
    <s v="USR-100870"/>
    <d v="2025-01-06T00:00:00"/>
    <x v="1"/>
    <x v="1"/>
    <x v="1"/>
    <s v="Organic"/>
    <x v="1"/>
    <n v="0"/>
    <n v="0"/>
    <n v="0"/>
    <n v="0"/>
    <n v="0"/>
    <n v="1"/>
    <n v="0"/>
    <m/>
    <n v="66.400000000000006"/>
    <n v="1"/>
  </r>
  <r>
    <s v="USR-100871"/>
    <d v="2025-02-07T00:00:00"/>
    <x v="1"/>
    <x v="2"/>
    <x v="1"/>
    <s v="Organic"/>
    <x v="1"/>
    <n v="1"/>
    <n v="0"/>
    <n v="0"/>
    <n v="0"/>
    <n v="0"/>
    <n v="0"/>
    <n v="0"/>
    <m/>
    <n v="27.6"/>
    <n v="1"/>
  </r>
  <r>
    <s v="USR-100872"/>
    <d v="2025-05-07T00:00:00"/>
    <x v="1"/>
    <x v="1"/>
    <x v="1"/>
    <s v="Organic"/>
    <x v="2"/>
    <n v="1"/>
    <n v="0"/>
    <n v="0"/>
    <n v="0"/>
    <n v="0"/>
    <n v="1"/>
    <n v="0"/>
    <m/>
    <n v="56.5"/>
    <n v="1"/>
  </r>
  <r>
    <s v="USR-100873"/>
    <d v="2025-04-22T00:00:00"/>
    <x v="1"/>
    <x v="1"/>
    <x v="3"/>
    <s v="Social"/>
    <x v="1"/>
    <n v="1"/>
    <n v="0"/>
    <n v="0"/>
    <n v="0"/>
    <n v="0"/>
    <n v="0"/>
    <n v="0"/>
    <m/>
    <n v="67.8"/>
    <n v="1"/>
  </r>
  <r>
    <s v="USR-100874"/>
    <d v="2025-05-04T00:00:00"/>
    <x v="1"/>
    <x v="1"/>
    <x v="0"/>
    <s v="Social"/>
    <x v="1"/>
    <n v="1"/>
    <n v="0"/>
    <n v="0"/>
    <n v="0"/>
    <n v="0"/>
    <n v="0"/>
    <n v="0"/>
    <m/>
    <n v="80"/>
    <n v="1"/>
  </r>
  <r>
    <s v="USR-100875"/>
    <d v="2025-05-16T00:00:00"/>
    <x v="1"/>
    <x v="3"/>
    <x v="1"/>
    <s v="Social"/>
    <x v="0"/>
    <n v="1"/>
    <n v="1"/>
    <n v="1"/>
    <n v="0"/>
    <n v="0"/>
    <n v="1"/>
    <n v="0"/>
    <m/>
    <n v="80.900000000000006"/>
    <n v="1"/>
  </r>
  <r>
    <s v="USR-100876"/>
    <d v="2025-02-11T00:00:00"/>
    <x v="1"/>
    <x v="1"/>
    <x v="1"/>
    <s v="Paid Search"/>
    <x v="1"/>
    <n v="0"/>
    <n v="0"/>
    <n v="0"/>
    <n v="0"/>
    <n v="0"/>
    <n v="0"/>
    <n v="0"/>
    <m/>
    <n v="34.5"/>
    <n v="1"/>
  </r>
  <r>
    <s v="USR-100877"/>
    <d v="2025-05-09T00:00:00"/>
    <x v="1"/>
    <x v="2"/>
    <x v="0"/>
    <s v="Organic"/>
    <x v="2"/>
    <n v="1"/>
    <n v="0"/>
    <n v="0"/>
    <n v="0"/>
    <n v="0"/>
    <n v="0"/>
    <n v="0"/>
    <m/>
    <n v="73.5"/>
    <n v="1"/>
  </r>
  <r>
    <s v="USR-100878"/>
    <d v="2025-02-09T00:00:00"/>
    <x v="1"/>
    <x v="3"/>
    <x v="0"/>
    <s v="Paid Search"/>
    <x v="1"/>
    <n v="1"/>
    <n v="1"/>
    <n v="0"/>
    <n v="0"/>
    <n v="0"/>
    <n v="0"/>
    <n v="0"/>
    <m/>
    <n v="70"/>
    <n v="1"/>
  </r>
  <r>
    <s v="USR-100879"/>
    <d v="2025-05-22T00:00:00"/>
    <x v="1"/>
    <x v="1"/>
    <x v="1"/>
    <s v="Social"/>
    <x v="0"/>
    <n v="0"/>
    <n v="0"/>
    <n v="0"/>
    <n v="0"/>
    <n v="0"/>
    <n v="0"/>
    <n v="0"/>
    <m/>
    <n v="86.9"/>
    <n v="1"/>
  </r>
  <r>
    <s v="USR-100880"/>
    <d v="2025-05-24T00:00:00"/>
    <x v="1"/>
    <x v="2"/>
    <x v="1"/>
    <s v="Social"/>
    <x v="0"/>
    <n v="0"/>
    <n v="0"/>
    <n v="0"/>
    <n v="0"/>
    <n v="0"/>
    <n v="0"/>
    <n v="0"/>
    <m/>
    <n v="66.900000000000006"/>
    <n v="1"/>
  </r>
  <r>
    <s v="USR-100881"/>
    <d v="2025-04-27T00:00:00"/>
    <x v="1"/>
    <x v="3"/>
    <x v="0"/>
    <s v="Social"/>
    <x v="0"/>
    <n v="1"/>
    <n v="1"/>
    <n v="1"/>
    <n v="0"/>
    <n v="0"/>
    <n v="0"/>
    <n v="0"/>
    <m/>
    <n v="58.3"/>
    <n v="1"/>
  </r>
  <r>
    <s v="USR-100882"/>
    <d v="2025-03-19T00:00:00"/>
    <x v="1"/>
    <x v="2"/>
    <x v="1"/>
    <s v="Paid Search"/>
    <x v="1"/>
    <n v="1"/>
    <n v="0"/>
    <n v="0"/>
    <n v="0"/>
    <n v="0"/>
    <n v="0"/>
    <n v="0"/>
    <m/>
    <n v="45"/>
    <n v="1"/>
  </r>
  <r>
    <s v="USR-100883"/>
    <d v="2025-05-20T00:00:00"/>
    <x v="1"/>
    <x v="3"/>
    <x v="1"/>
    <s v="Organic"/>
    <x v="2"/>
    <n v="0"/>
    <n v="0"/>
    <n v="0"/>
    <n v="0"/>
    <n v="0"/>
    <n v="0"/>
    <n v="0"/>
    <m/>
    <n v="60.8"/>
    <n v="1"/>
  </r>
  <r>
    <s v="USR-100884"/>
    <d v="2025-05-10T00:00:00"/>
    <x v="1"/>
    <x v="0"/>
    <x v="1"/>
    <s v="Email"/>
    <x v="2"/>
    <n v="1"/>
    <n v="0"/>
    <n v="0"/>
    <n v="0"/>
    <n v="0"/>
    <n v="4"/>
    <n v="0"/>
    <m/>
    <n v="53.7"/>
    <n v="1"/>
  </r>
  <r>
    <s v="USR-100885"/>
    <d v="2025-03-29T00:00:00"/>
    <x v="1"/>
    <x v="2"/>
    <x v="1"/>
    <s v="Social"/>
    <x v="1"/>
    <n v="1"/>
    <n v="1"/>
    <n v="1"/>
    <n v="0"/>
    <n v="0"/>
    <n v="0"/>
    <n v="0"/>
    <m/>
    <n v="48.8"/>
    <n v="1"/>
  </r>
  <r>
    <s v="USR-100886"/>
    <d v="2025-04-03T00:00:00"/>
    <x v="1"/>
    <x v="1"/>
    <x v="0"/>
    <s v="Referral"/>
    <x v="0"/>
    <n v="0"/>
    <n v="0"/>
    <n v="0"/>
    <n v="0"/>
    <n v="0"/>
    <n v="0"/>
    <n v="0"/>
    <m/>
    <n v="52.9"/>
    <n v="1"/>
  </r>
  <r>
    <s v="USR-100887"/>
    <d v="2025-05-30T00:00:00"/>
    <x v="1"/>
    <x v="3"/>
    <x v="1"/>
    <s v="Email"/>
    <x v="1"/>
    <n v="1"/>
    <n v="0"/>
    <n v="0"/>
    <n v="0"/>
    <n v="0"/>
    <n v="0"/>
    <n v="0"/>
    <m/>
    <n v="42.4"/>
    <n v="1"/>
  </r>
  <r>
    <s v="USR-100888"/>
    <d v="2025-04-06T00:00:00"/>
    <x v="1"/>
    <x v="2"/>
    <x v="0"/>
    <s v="Email"/>
    <x v="1"/>
    <n v="1"/>
    <n v="0"/>
    <n v="0"/>
    <n v="0"/>
    <n v="0"/>
    <n v="0"/>
    <n v="0"/>
    <m/>
    <n v="58.7"/>
    <n v="1"/>
  </r>
  <r>
    <s v="USR-100889"/>
    <d v="2025-03-14T00:00:00"/>
    <x v="1"/>
    <x v="0"/>
    <x v="1"/>
    <s v="Referral"/>
    <x v="1"/>
    <n v="1"/>
    <n v="1"/>
    <n v="1"/>
    <n v="1"/>
    <n v="2064.5500000000002"/>
    <n v="0"/>
    <n v="0"/>
    <n v="1"/>
    <n v="67.8"/>
    <n v="1"/>
  </r>
  <r>
    <s v="USR-100890"/>
    <d v="2025-02-24T00:00:00"/>
    <x v="1"/>
    <x v="3"/>
    <x v="0"/>
    <s v="Paid Search"/>
    <x v="0"/>
    <n v="1"/>
    <n v="0"/>
    <n v="0"/>
    <n v="0"/>
    <n v="0"/>
    <n v="0"/>
    <n v="0"/>
    <m/>
    <n v="62.6"/>
    <n v="1"/>
  </r>
  <r>
    <s v="USR-100891"/>
    <d v="2025-03-04T00:00:00"/>
    <x v="1"/>
    <x v="1"/>
    <x v="1"/>
    <s v="Email"/>
    <x v="0"/>
    <n v="1"/>
    <n v="0"/>
    <n v="0"/>
    <n v="0"/>
    <n v="0"/>
    <n v="0"/>
    <n v="0"/>
    <m/>
    <n v="82.4"/>
    <n v="1"/>
  </r>
  <r>
    <s v="USR-100892"/>
    <d v="2025-04-02T00:00:00"/>
    <x v="1"/>
    <x v="0"/>
    <x v="1"/>
    <s v="Organic"/>
    <x v="1"/>
    <n v="1"/>
    <n v="1"/>
    <n v="1"/>
    <n v="0"/>
    <n v="0"/>
    <n v="0"/>
    <n v="0"/>
    <m/>
    <n v="50.4"/>
    <n v="1"/>
  </r>
  <r>
    <s v="USR-100893"/>
    <d v="2025-05-11T00:00:00"/>
    <x v="1"/>
    <x v="0"/>
    <x v="1"/>
    <s v="Email"/>
    <x v="2"/>
    <n v="0"/>
    <n v="0"/>
    <n v="0"/>
    <n v="0"/>
    <n v="0"/>
    <n v="0"/>
    <n v="0"/>
    <m/>
    <n v="68.400000000000006"/>
    <n v="1"/>
  </r>
  <r>
    <s v="USR-100894"/>
    <d v="2025-05-10T00:00:00"/>
    <x v="1"/>
    <x v="1"/>
    <x v="2"/>
    <s v="Paid Search"/>
    <x v="0"/>
    <n v="1"/>
    <n v="1"/>
    <n v="1"/>
    <n v="0"/>
    <n v="0"/>
    <n v="0"/>
    <n v="0"/>
    <m/>
    <n v="58.8"/>
    <n v="1"/>
  </r>
  <r>
    <s v="USR-100895"/>
    <d v="2025-05-06T00:00:00"/>
    <x v="1"/>
    <x v="1"/>
    <x v="1"/>
    <s v="Referral"/>
    <x v="1"/>
    <n v="1"/>
    <n v="1"/>
    <n v="0"/>
    <n v="0"/>
    <n v="0"/>
    <n v="2"/>
    <n v="0"/>
    <m/>
    <n v="28.3"/>
    <n v="1"/>
  </r>
  <r>
    <s v="USR-100896"/>
    <d v="2025-02-11T00:00:00"/>
    <x v="1"/>
    <x v="1"/>
    <x v="0"/>
    <s v="Paid Search"/>
    <x v="1"/>
    <n v="1"/>
    <n v="1"/>
    <n v="0"/>
    <n v="0"/>
    <n v="0"/>
    <n v="0"/>
    <n v="0"/>
    <m/>
    <n v="44.1"/>
    <n v="1"/>
  </r>
  <r>
    <s v="USR-100897"/>
    <d v="2025-05-09T00:00:00"/>
    <x v="1"/>
    <x v="3"/>
    <x v="1"/>
    <s v="Paid Search"/>
    <x v="2"/>
    <n v="1"/>
    <n v="1"/>
    <n v="0"/>
    <n v="0"/>
    <n v="0"/>
    <n v="0"/>
    <n v="0"/>
    <m/>
    <n v="66.7"/>
    <n v="1"/>
  </r>
  <r>
    <s v="USR-100898"/>
    <d v="2025-02-02T00:00:00"/>
    <x v="1"/>
    <x v="3"/>
    <x v="1"/>
    <m/>
    <x v="1"/>
    <n v="1"/>
    <n v="0"/>
    <n v="0"/>
    <n v="0"/>
    <n v="0"/>
    <n v="0"/>
    <n v="0"/>
    <m/>
    <n v="100"/>
    <n v="1"/>
  </r>
  <r>
    <s v="USR-100899"/>
    <d v="2025-04-03T00:00:00"/>
    <x v="1"/>
    <x v="3"/>
    <x v="1"/>
    <s v="Social"/>
    <x v="1"/>
    <n v="1"/>
    <n v="1"/>
    <n v="0"/>
    <n v="0"/>
    <n v="0"/>
    <n v="0"/>
    <n v="0"/>
    <m/>
    <n v="87.5"/>
    <n v="1"/>
  </r>
  <r>
    <s v="USR-100900"/>
    <d v="2025-02-15T00:00:00"/>
    <x v="1"/>
    <x v="0"/>
    <x v="0"/>
    <s v="Organic"/>
    <x v="0"/>
    <n v="1"/>
    <n v="0"/>
    <n v="0"/>
    <n v="0"/>
    <n v="0"/>
    <n v="2"/>
    <n v="0"/>
    <m/>
    <n v="65.400000000000006"/>
    <n v="1"/>
  </r>
  <r>
    <s v="USR-100901"/>
    <d v="2025-04-18T00:00:00"/>
    <x v="1"/>
    <x v="3"/>
    <x v="0"/>
    <s v="Organic"/>
    <x v="1"/>
    <n v="1"/>
    <n v="0"/>
    <n v="0"/>
    <n v="0"/>
    <n v="0"/>
    <n v="0"/>
    <n v="0"/>
    <m/>
    <n v="22.9"/>
    <n v="1"/>
  </r>
  <r>
    <s v="USR-100902"/>
    <d v="2025-03-14T00:00:00"/>
    <x v="1"/>
    <x v="1"/>
    <x v="0"/>
    <s v="Organic"/>
    <x v="2"/>
    <n v="0"/>
    <n v="0"/>
    <n v="0"/>
    <n v="0"/>
    <n v="0"/>
    <n v="0"/>
    <n v="0"/>
    <m/>
    <n v="64.599999999999994"/>
    <n v="1"/>
  </r>
  <r>
    <s v="USR-100903"/>
    <d v="2025-03-29T00:00:00"/>
    <x v="1"/>
    <x v="3"/>
    <x v="1"/>
    <s v="Referral"/>
    <x v="1"/>
    <n v="1"/>
    <n v="0"/>
    <n v="0"/>
    <n v="0"/>
    <n v="0"/>
    <n v="2"/>
    <n v="0"/>
    <m/>
    <n v="54.4"/>
    <n v="1"/>
  </r>
  <r>
    <s v="USR-100904"/>
    <d v="2025-02-13T00:00:00"/>
    <x v="1"/>
    <x v="0"/>
    <x v="0"/>
    <s v="Organic"/>
    <x v="1"/>
    <n v="1"/>
    <n v="1"/>
    <n v="1"/>
    <n v="0"/>
    <n v="0"/>
    <n v="0"/>
    <n v="0"/>
    <m/>
    <n v="56.8"/>
    <n v="1"/>
  </r>
  <r>
    <s v="USR-100905"/>
    <d v="2025-01-23T00:00:00"/>
    <x v="1"/>
    <x v="3"/>
    <x v="1"/>
    <s v="Paid Search"/>
    <x v="1"/>
    <n v="1"/>
    <n v="1"/>
    <n v="1"/>
    <n v="1"/>
    <n v="341.38"/>
    <n v="0"/>
    <n v="0"/>
    <n v="2"/>
    <n v="63.6"/>
    <n v="1"/>
  </r>
  <r>
    <s v="USR-100906"/>
    <d v="2025-02-24T00:00:00"/>
    <x v="1"/>
    <x v="2"/>
    <x v="1"/>
    <s v="Social"/>
    <x v="1"/>
    <n v="1"/>
    <n v="0"/>
    <n v="0"/>
    <n v="0"/>
    <n v="0"/>
    <n v="0"/>
    <n v="0"/>
    <m/>
    <n v="58.2"/>
    <n v="1"/>
  </r>
  <r>
    <s v="USR-100907"/>
    <d v="2025-02-28T00:00:00"/>
    <x v="1"/>
    <x v="1"/>
    <x v="1"/>
    <s v="Paid Search"/>
    <x v="1"/>
    <n v="1"/>
    <n v="1"/>
    <n v="0"/>
    <n v="0"/>
    <n v="0"/>
    <n v="0"/>
    <n v="0"/>
    <m/>
    <n v="54.6"/>
    <n v="1"/>
  </r>
  <r>
    <s v="USR-100908"/>
    <d v="2025-01-07T00:00:00"/>
    <x v="1"/>
    <x v="1"/>
    <x v="2"/>
    <s v="Organic"/>
    <x v="0"/>
    <n v="1"/>
    <n v="0"/>
    <n v="0"/>
    <n v="0"/>
    <n v="0"/>
    <n v="0"/>
    <n v="0"/>
    <m/>
    <n v="81.900000000000006"/>
    <n v="1"/>
  </r>
  <r>
    <s v="USR-100909"/>
    <d v="2025-03-21T00:00:00"/>
    <x v="1"/>
    <x v="1"/>
    <x v="0"/>
    <s v="Email"/>
    <x v="1"/>
    <n v="1"/>
    <n v="0"/>
    <n v="0"/>
    <n v="0"/>
    <n v="0"/>
    <n v="3"/>
    <n v="0"/>
    <m/>
    <n v="53.3"/>
    <n v="1"/>
  </r>
  <r>
    <s v="USR-100910"/>
    <d v="2025-02-18T00:00:00"/>
    <x v="1"/>
    <x v="0"/>
    <x v="0"/>
    <s v="Organic"/>
    <x v="0"/>
    <n v="0"/>
    <n v="0"/>
    <n v="0"/>
    <n v="0"/>
    <n v="0"/>
    <n v="0"/>
    <n v="0"/>
    <m/>
    <n v="54.2"/>
    <n v="1"/>
  </r>
  <r>
    <s v="USR-100911"/>
    <d v="2025-01-05T00:00:00"/>
    <x v="1"/>
    <x v="0"/>
    <x v="1"/>
    <s v="Paid Search"/>
    <x v="1"/>
    <n v="1"/>
    <n v="1"/>
    <n v="0"/>
    <n v="0"/>
    <n v="0"/>
    <n v="0"/>
    <n v="0"/>
    <m/>
    <n v="65.599999999999994"/>
    <n v="1"/>
  </r>
  <r>
    <s v="USR-100912"/>
    <d v="2025-03-11T00:00:00"/>
    <x v="1"/>
    <x v="2"/>
    <x v="0"/>
    <s v="Organic"/>
    <x v="0"/>
    <n v="1"/>
    <n v="0"/>
    <n v="0"/>
    <n v="0"/>
    <n v="0"/>
    <n v="1"/>
    <n v="0"/>
    <m/>
    <n v="56.5"/>
    <n v="1"/>
  </r>
  <r>
    <s v="USR-100913"/>
    <d v="2025-01-09T00:00:00"/>
    <x v="1"/>
    <x v="0"/>
    <x v="0"/>
    <s v="Organic"/>
    <x v="0"/>
    <n v="1"/>
    <n v="0"/>
    <n v="0"/>
    <n v="0"/>
    <n v="0"/>
    <n v="0"/>
    <n v="0"/>
    <m/>
    <n v="59.7"/>
    <n v="1"/>
  </r>
  <r>
    <s v="USR-100914"/>
    <d v="2025-01-08T00:00:00"/>
    <x v="1"/>
    <x v="3"/>
    <x v="1"/>
    <s v="Organic"/>
    <x v="1"/>
    <n v="1"/>
    <n v="1"/>
    <n v="1"/>
    <n v="0"/>
    <n v="0"/>
    <n v="0"/>
    <n v="0"/>
    <m/>
    <n v="72.5"/>
    <n v="1"/>
  </r>
  <r>
    <s v="USR-100915"/>
    <d v="2025-05-01T00:00:00"/>
    <x v="1"/>
    <x v="2"/>
    <x v="0"/>
    <s v="Paid Search"/>
    <x v="1"/>
    <n v="1"/>
    <n v="0"/>
    <n v="0"/>
    <n v="0"/>
    <n v="0"/>
    <n v="0"/>
    <n v="0"/>
    <m/>
    <n v="64.3"/>
    <n v="1"/>
  </r>
  <r>
    <s v="USR-100916"/>
    <d v="2025-03-03T00:00:00"/>
    <x v="1"/>
    <x v="3"/>
    <x v="1"/>
    <s v="Social"/>
    <x v="1"/>
    <n v="1"/>
    <n v="0"/>
    <n v="0"/>
    <n v="0"/>
    <n v="0"/>
    <n v="0"/>
    <n v="0"/>
    <m/>
    <n v="64.5"/>
    <n v="1"/>
  </r>
  <r>
    <s v="USR-100917"/>
    <d v="2025-02-23T00:00:00"/>
    <x v="1"/>
    <x v="1"/>
    <x v="0"/>
    <s v="Social"/>
    <x v="0"/>
    <n v="1"/>
    <n v="1"/>
    <n v="1"/>
    <n v="0"/>
    <n v="0"/>
    <n v="0"/>
    <n v="0"/>
    <m/>
    <n v="70.599999999999994"/>
    <n v="2"/>
  </r>
  <r>
    <s v="USR-100918"/>
    <d v="2025-02-17T00:00:00"/>
    <x v="1"/>
    <x v="3"/>
    <x v="0"/>
    <s v="Organic"/>
    <x v="0"/>
    <n v="0"/>
    <n v="0"/>
    <n v="0"/>
    <n v="0"/>
    <n v="0"/>
    <n v="0"/>
    <n v="0"/>
    <m/>
    <n v="58.4"/>
    <n v="1"/>
  </r>
  <r>
    <s v="USR-100919"/>
    <d v="2025-05-21T00:00:00"/>
    <x v="1"/>
    <x v="2"/>
    <x v="1"/>
    <s v="Organic"/>
    <x v="0"/>
    <n v="1"/>
    <n v="0"/>
    <n v="0"/>
    <n v="0"/>
    <n v="0"/>
    <n v="0"/>
    <n v="0"/>
    <m/>
    <n v="56.6"/>
    <n v="1"/>
  </r>
  <r>
    <s v="USR-100920"/>
    <d v="2025-01-30T00:00:00"/>
    <x v="1"/>
    <x v="3"/>
    <x v="1"/>
    <s v="Organic"/>
    <x v="1"/>
    <n v="1"/>
    <n v="0"/>
    <n v="0"/>
    <n v="0"/>
    <n v="0"/>
    <n v="0"/>
    <n v="0"/>
    <m/>
    <n v="61.8"/>
    <n v="1"/>
  </r>
  <r>
    <s v="USR-100921"/>
    <d v="2025-03-20T00:00:00"/>
    <x v="1"/>
    <x v="1"/>
    <x v="1"/>
    <s v="Email"/>
    <x v="1"/>
    <n v="1"/>
    <n v="1"/>
    <n v="1"/>
    <n v="1"/>
    <n v="513.52"/>
    <n v="0"/>
    <n v="0"/>
    <n v="8"/>
    <n v="43.4"/>
    <n v="1"/>
  </r>
  <r>
    <s v="USR-100922"/>
    <d v="2025-04-10T00:00:00"/>
    <x v="1"/>
    <x v="1"/>
    <x v="2"/>
    <s v="Paid Search"/>
    <x v="1"/>
    <n v="0"/>
    <n v="0"/>
    <n v="0"/>
    <n v="0"/>
    <n v="0"/>
    <n v="0"/>
    <n v="0"/>
    <m/>
    <n v="43"/>
    <n v="1"/>
  </r>
  <r>
    <s v="USR-100923"/>
    <d v="2025-03-07T00:00:00"/>
    <x v="1"/>
    <x v="0"/>
    <x v="0"/>
    <s v="Organic"/>
    <x v="1"/>
    <n v="1"/>
    <n v="1"/>
    <n v="1"/>
    <n v="0"/>
    <n v="0"/>
    <n v="0"/>
    <n v="0"/>
    <m/>
    <n v="51.1"/>
    <n v="1"/>
  </r>
  <r>
    <s v="USR-100924"/>
    <d v="2025-03-12T00:00:00"/>
    <x v="1"/>
    <x v="1"/>
    <x v="1"/>
    <s v="Email"/>
    <x v="0"/>
    <n v="1"/>
    <n v="0"/>
    <n v="0"/>
    <n v="0"/>
    <n v="0"/>
    <n v="0"/>
    <n v="0"/>
    <m/>
    <n v="48.8"/>
    <n v="1"/>
  </r>
  <r>
    <s v="USR-100925"/>
    <d v="2025-02-24T00:00:00"/>
    <x v="1"/>
    <x v="2"/>
    <x v="1"/>
    <s v="Referral"/>
    <x v="1"/>
    <n v="0"/>
    <n v="0"/>
    <n v="0"/>
    <n v="0"/>
    <n v="0"/>
    <n v="0"/>
    <n v="0"/>
    <m/>
    <n v="73.2"/>
    <n v="1"/>
  </r>
  <r>
    <s v="USR-100926"/>
    <d v="2025-01-15T00:00:00"/>
    <x v="1"/>
    <x v="2"/>
    <x v="1"/>
    <s v="Referral"/>
    <x v="1"/>
    <n v="1"/>
    <n v="1"/>
    <n v="1"/>
    <n v="0"/>
    <n v="0"/>
    <n v="0"/>
    <n v="0"/>
    <m/>
    <n v="80"/>
    <n v="1"/>
  </r>
  <r>
    <s v="USR-100927"/>
    <d v="2025-01-07T00:00:00"/>
    <x v="1"/>
    <x v="0"/>
    <x v="0"/>
    <s v="Paid Search"/>
    <x v="1"/>
    <n v="1"/>
    <n v="0"/>
    <n v="0"/>
    <n v="0"/>
    <n v="0"/>
    <n v="0"/>
    <n v="0"/>
    <m/>
    <n v="52.3"/>
    <n v="1"/>
  </r>
  <r>
    <s v="USR-100928"/>
    <d v="2025-03-02T00:00:00"/>
    <x v="1"/>
    <x v="0"/>
    <x v="0"/>
    <s v="Organic"/>
    <x v="1"/>
    <n v="0"/>
    <n v="0"/>
    <n v="0"/>
    <n v="0"/>
    <n v="0"/>
    <n v="0"/>
    <n v="0"/>
    <m/>
    <n v="49.1"/>
    <n v="1"/>
  </r>
  <r>
    <s v="USR-100929"/>
    <d v="2025-01-05T00:00:00"/>
    <x v="1"/>
    <x v="3"/>
    <x v="0"/>
    <s v="Referral"/>
    <x v="0"/>
    <n v="0"/>
    <n v="0"/>
    <n v="0"/>
    <n v="0"/>
    <n v="0"/>
    <n v="0"/>
    <n v="0"/>
    <m/>
    <n v="45.3"/>
    <n v="1"/>
  </r>
  <r>
    <s v="USR-100930"/>
    <d v="2025-03-03T00:00:00"/>
    <x v="1"/>
    <x v="3"/>
    <x v="1"/>
    <s v="Organic"/>
    <x v="1"/>
    <n v="1"/>
    <n v="1"/>
    <n v="0"/>
    <n v="0"/>
    <n v="0"/>
    <n v="0"/>
    <n v="0"/>
    <m/>
    <n v="49.1"/>
    <n v="1"/>
  </r>
  <r>
    <s v="USR-100931"/>
    <d v="2025-03-31T00:00:00"/>
    <x v="1"/>
    <x v="2"/>
    <x v="0"/>
    <s v="Referral"/>
    <x v="1"/>
    <n v="1"/>
    <n v="1"/>
    <n v="1"/>
    <n v="1"/>
    <n v="476.44"/>
    <n v="0"/>
    <n v="0"/>
    <n v="3"/>
    <n v="88.6"/>
    <n v="1"/>
  </r>
  <r>
    <s v="USR-100932"/>
    <d v="2025-01-14T00:00:00"/>
    <x v="1"/>
    <x v="2"/>
    <x v="0"/>
    <s v="Paid Search"/>
    <x v="2"/>
    <n v="0"/>
    <n v="0"/>
    <n v="0"/>
    <n v="0"/>
    <n v="0"/>
    <n v="1"/>
    <n v="0"/>
    <m/>
    <n v="54.4"/>
    <n v="1"/>
  </r>
  <r>
    <s v="USR-100933"/>
    <d v="2025-01-15T00:00:00"/>
    <x v="1"/>
    <x v="1"/>
    <x v="0"/>
    <s v="Paid Search"/>
    <x v="2"/>
    <n v="1"/>
    <n v="0"/>
    <n v="0"/>
    <n v="0"/>
    <n v="0"/>
    <n v="0"/>
    <n v="0"/>
    <m/>
    <n v="72.900000000000006"/>
    <n v="1"/>
  </r>
  <r>
    <s v="USR-100934"/>
    <d v="2025-04-25T00:00:00"/>
    <x v="1"/>
    <x v="1"/>
    <x v="0"/>
    <s v="Organic"/>
    <x v="1"/>
    <n v="1"/>
    <n v="0"/>
    <n v="0"/>
    <n v="0"/>
    <n v="0"/>
    <n v="0"/>
    <n v="0"/>
    <m/>
    <n v="53.2"/>
    <n v="1"/>
  </r>
  <r>
    <s v="USR-100935"/>
    <d v="2025-03-21T00:00:00"/>
    <x v="1"/>
    <x v="2"/>
    <x v="1"/>
    <s v="Organic"/>
    <x v="0"/>
    <n v="1"/>
    <n v="1"/>
    <n v="0"/>
    <n v="0"/>
    <n v="0"/>
    <n v="0"/>
    <n v="0"/>
    <m/>
    <n v="48.7"/>
    <n v="1"/>
  </r>
  <r>
    <s v="USR-100936"/>
    <d v="2025-04-26T00:00:00"/>
    <x v="1"/>
    <x v="3"/>
    <x v="1"/>
    <s v="Paid Search"/>
    <x v="0"/>
    <n v="1"/>
    <n v="1"/>
    <n v="1"/>
    <n v="0"/>
    <n v="0"/>
    <n v="0"/>
    <n v="0"/>
    <m/>
    <n v="59.9"/>
    <n v="1"/>
  </r>
  <r>
    <s v="USR-100937"/>
    <d v="2025-05-21T00:00:00"/>
    <x v="1"/>
    <x v="3"/>
    <x v="0"/>
    <m/>
    <x v="0"/>
    <n v="0"/>
    <n v="0"/>
    <n v="0"/>
    <n v="0"/>
    <n v="0"/>
    <n v="0"/>
    <n v="0"/>
    <m/>
    <n v="82"/>
    <n v="1"/>
  </r>
  <r>
    <s v="USR-100938"/>
    <d v="2025-04-18T00:00:00"/>
    <x v="1"/>
    <x v="2"/>
    <x v="1"/>
    <s v="Paid Search"/>
    <x v="1"/>
    <n v="0"/>
    <n v="0"/>
    <n v="0"/>
    <n v="0"/>
    <n v="0"/>
    <n v="0"/>
    <n v="0"/>
    <m/>
    <n v="72.099999999999994"/>
    <n v="1"/>
  </r>
  <r>
    <s v="USR-100939"/>
    <d v="2025-01-29T00:00:00"/>
    <x v="1"/>
    <x v="0"/>
    <x v="0"/>
    <s v="Email"/>
    <x v="2"/>
    <n v="1"/>
    <n v="1"/>
    <n v="0"/>
    <n v="0"/>
    <n v="0"/>
    <n v="0"/>
    <n v="0"/>
    <m/>
    <n v="68.3"/>
    <n v="1"/>
  </r>
  <r>
    <s v="USR-100940"/>
    <d v="2025-05-28T00:00:00"/>
    <x v="1"/>
    <x v="1"/>
    <x v="1"/>
    <s v="Organic"/>
    <x v="2"/>
    <n v="0"/>
    <n v="0"/>
    <n v="0"/>
    <n v="0"/>
    <n v="0"/>
    <n v="0"/>
    <n v="0"/>
    <m/>
    <n v="100"/>
    <n v="1"/>
  </r>
  <r>
    <s v="USR-100941"/>
    <d v="2025-01-15T00:00:00"/>
    <x v="1"/>
    <x v="2"/>
    <x v="1"/>
    <s v="Email"/>
    <x v="1"/>
    <n v="1"/>
    <n v="1"/>
    <n v="1"/>
    <n v="0"/>
    <n v="0"/>
    <n v="2"/>
    <n v="0"/>
    <m/>
    <n v="76.5"/>
    <n v="1"/>
  </r>
  <r>
    <s v="USR-100942"/>
    <d v="2025-01-03T00:00:00"/>
    <x v="1"/>
    <x v="3"/>
    <x v="1"/>
    <s v="Organic"/>
    <x v="0"/>
    <n v="1"/>
    <n v="1"/>
    <n v="0"/>
    <n v="0"/>
    <n v="0"/>
    <n v="0"/>
    <n v="0"/>
    <m/>
    <n v="62"/>
    <n v="1"/>
  </r>
  <r>
    <s v="USR-100943"/>
    <d v="2025-02-04T00:00:00"/>
    <x v="1"/>
    <x v="3"/>
    <x v="1"/>
    <s v="Paid Search"/>
    <x v="1"/>
    <n v="1"/>
    <n v="1"/>
    <n v="1"/>
    <n v="1"/>
    <n v="324.68"/>
    <n v="1"/>
    <n v="0"/>
    <n v="7"/>
    <n v="50.1"/>
    <n v="1"/>
  </r>
  <r>
    <s v="USR-100944"/>
    <d v="2025-02-22T00:00:00"/>
    <x v="1"/>
    <x v="3"/>
    <x v="1"/>
    <s v="Referral"/>
    <x v="2"/>
    <n v="1"/>
    <n v="0"/>
    <n v="0"/>
    <n v="0"/>
    <n v="0"/>
    <n v="0"/>
    <n v="0"/>
    <m/>
    <n v="62.1"/>
    <n v="1"/>
  </r>
  <r>
    <s v="USR-100945"/>
    <d v="2025-05-06T00:00:00"/>
    <x v="1"/>
    <x v="1"/>
    <x v="1"/>
    <s v="Organic"/>
    <x v="0"/>
    <n v="1"/>
    <n v="0"/>
    <n v="0"/>
    <n v="0"/>
    <n v="0"/>
    <n v="0"/>
    <n v="0"/>
    <m/>
    <n v="49.7"/>
    <n v="1"/>
  </r>
  <r>
    <s v="USR-100946"/>
    <d v="2025-01-31T00:00:00"/>
    <x v="1"/>
    <x v="3"/>
    <x v="1"/>
    <s v="Organic"/>
    <x v="1"/>
    <n v="1"/>
    <n v="0"/>
    <n v="0"/>
    <n v="0"/>
    <n v="0"/>
    <n v="3"/>
    <n v="0"/>
    <m/>
    <n v="71.099999999999994"/>
    <n v="1"/>
  </r>
  <r>
    <s v="USR-100947"/>
    <d v="2025-02-18T00:00:00"/>
    <x v="1"/>
    <x v="0"/>
    <x v="1"/>
    <s v="Social"/>
    <x v="0"/>
    <n v="0"/>
    <n v="0"/>
    <n v="0"/>
    <n v="0"/>
    <n v="0"/>
    <n v="0"/>
    <n v="0"/>
    <m/>
    <n v="70.8"/>
    <n v="1"/>
  </r>
  <r>
    <s v="USR-100948"/>
    <d v="2025-04-23T00:00:00"/>
    <x v="1"/>
    <x v="2"/>
    <x v="1"/>
    <s v="Paid Search"/>
    <x v="1"/>
    <n v="1"/>
    <n v="1"/>
    <n v="1"/>
    <n v="1"/>
    <n v="301.98"/>
    <n v="0"/>
    <n v="0"/>
    <n v="10"/>
    <n v="52.2"/>
    <n v="1"/>
  </r>
  <r>
    <s v="USR-100949"/>
    <d v="2025-02-06T00:00:00"/>
    <x v="1"/>
    <x v="0"/>
    <x v="1"/>
    <s v="Organic"/>
    <x v="1"/>
    <n v="1"/>
    <n v="1"/>
    <n v="1"/>
    <n v="0"/>
    <n v="0"/>
    <n v="0"/>
    <n v="0"/>
    <m/>
    <n v="73"/>
    <n v="1"/>
  </r>
  <r>
    <s v="USR-100950"/>
    <d v="2025-04-26T00:00:00"/>
    <x v="1"/>
    <x v="3"/>
    <x v="0"/>
    <s v="Paid Search"/>
    <x v="1"/>
    <n v="0"/>
    <n v="0"/>
    <n v="0"/>
    <n v="0"/>
    <n v="0"/>
    <n v="0"/>
    <n v="0"/>
    <m/>
    <n v="78.2"/>
    <n v="1"/>
  </r>
  <r>
    <s v="USR-100951"/>
    <d v="2025-03-30T00:00:00"/>
    <x v="1"/>
    <x v="1"/>
    <x v="0"/>
    <s v="Paid Search"/>
    <x v="0"/>
    <n v="1"/>
    <n v="0"/>
    <n v="0"/>
    <n v="0"/>
    <n v="0"/>
    <n v="0"/>
    <n v="0"/>
    <m/>
    <n v="68.8"/>
    <n v="1"/>
  </r>
  <r>
    <s v="USR-100952"/>
    <d v="2025-04-13T00:00:00"/>
    <x v="1"/>
    <x v="1"/>
    <x v="1"/>
    <m/>
    <x v="2"/>
    <n v="1"/>
    <n v="0"/>
    <n v="0"/>
    <n v="0"/>
    <n v="0"/>
    <n v="0"/>
    <n v="0"/>
    <m/>
    <n v="57.1"/>
    <n v="1"/>
  </r>
  <r>
    <s v="USR-100953"/>
    <d v="2025-04-04T00:00:00"/>
    <x v="1"/>
    <x v="2"/>
    <x v="0"/>
    <s v="Organic"/>
    <x v="2"/>
    <n v="0"/>
    <n v="0"/>
    <n v="0"/>
    <n v="0"/>
    <n v="0"/>
    <n v="1"/>
    <n v="0"/>
    <m/>
    <n v="74.599999999999994"/>
    <n v="1"/>
  </r>
  <r>
    <s v="USR-100954"/>
    <d v="2025-04-03T00:00:00"/>
    <x v="1"/>
    <x v="0"/>
    <x v="0"/>
    <s v="Referral"/>
    <x v="1"/>
    <n v="1"/>
    <n v="0"/>
    <n v="0"/>
    <n v="0"/>
    <n v="0"/>
    <n v="1"/>
    <n v="0"/>
    <m/>
    <n v="64.099999999999994"/>
    <n v="1"/>
  </r>
  <r>
    <s v="USR-100955"/>
    <d v="2025-03-14T00:00:00"/>
    <x v="1"/>
    <x v="1"/>
    <x v="1"/>
    <s v="Paid Search"/>
    <x v="2"/>
    <n v="1"/>
    <n v="0"/>
    <n v="0"/>
    <n v="0"/>
    <n v="0"/>
    <n v="0"/>
    <n v="0"/>
    <m/>
    <n v="67.3"/>
    <n v="1"/>
  </r>
  <r>
    <s v="USR-100956"/>
    <d v="2025-01-14T00:00:00"/>
    <x v="1"/>
    <x v="1"/>
    <x v="1"/>
    <s v="Referral"/>
    <x v="1"/>
    <n v="0"/>
    <n v="0"/>
    <n v="0"/>
    <n v="0"/>
    <n v="0"/>
    <n v="2"/>
    <n v="0"/>
    <m/>
    <n v="41"/>
    <n v="1"/>
  </r>
  <r>
    <s v="USR-100957"/>
    <d v="2025-05-05T00:00:00"/>
    <x v="1"/>
    <x v="1"/>
    <x v="1"/>
    <s v="Paid Search"/>
    <x v="1"/>
    <n v="0"/>
    <n v="0"/>
    <n v="0"/>
    <n v="0"/>
    <n v="0"/>
    <n v="0"/>
    <n v="0"/>
    <m/>
    <n v="48.1"/>
    <n v="1"/>
  </r>
  <r>
    <s v="USR-100958"/>
    <d v="2025-05-02T00:00:00"/>
    <x v="1"/>
    <x v="1"/>
    <x v="0"/>
    <s v="Social"/>
    <x v="1"/>
    <n v="0"/>
    <n v="0"/>
    <n v="0"/>
    <n v="0"/>
    <n v="0"/>
    <n v="1"/>
    <n v="0"/>
    <m/>
    <n v="60.8"/>
    <n v="1"/>
  </r>
  <r>
    <s v="USR-100959"/>
    <d v="2025-05-21T00:00:00"/>
    <x v="1"/>
    <x v="2"/>
    <x v="1"/>
    <s v="Organic"/>
    <x v="1"/>
    <n v="1"/>
    <n v="0"/>
    <n v="0"/>
    <n v="0"/>
    <n v="0"/>
    <n v="0"/>
    <n v="0"/>
    <m/>
    <n v="63.1"/>
    <n v="1"/>
  </r>
  <r>
    <s v="USR-100960"/>
    <d v="2025-05-16T00:00:00"/>
    <x v="1"/>
    <x v="0"/>
    <x v="1"/>
    <s v="Referral"/>
    <x v="2"/>
    <n v="1"/>
    <n v="0"/>
    <n v="0"/>
    <n v="0"/>
    <n v="0"/>
    <n v="2"/>
    <n v="0"/>
    <m/>
    <n v="49.7"/>
    <n v="1"/>
  </r>
  <r>
    <s v="USR-100961"/>
    <d v="2025-05-24T00:00:00"/>
    <x v="1"/>
    <x v="2"/>
    <x v="0"/>
    <s v="Organic"/>
    <x v="2"/>
    <n v="1"/>
    <n v="1"/>
    <n v="1"/>
    <n v="0"/>
    <n v="0"/>
    <n v="1"/>
    <n v="0"/>
    <m/>
    <n v="83.4"/>
    <n v="1"/>
  </r>
  <r>
    <s v="USR-100962"/>
    <d v="2025-03-18T00:00:00"/>
    <x v="1"/>
    <x v="2"/>
    <x v="1"/>
    <s v="Organic"/>
    <x v="0"/>
    <n v="1"/>
    <n v="0"/>
    <n v="0"/>
    <n v="0"/>
    <n v="0"/>
    <n v="0"/>
    <n v="0"/>
    <m/>
    <n v="75.900000000000006"/>
    <n v="1"/>
  </r>
  <r>
    <s v="USR-100963"/>
    <d v="2025-01-11T00:00:00"/>
    <x v="1"/>
    <x v="2"/>
    <x v="0"/>
    <s v="Paid Search"/>
    <x v="1"/>
    <n v="0"/>
    <n v="0"/>
    <n v="0"/>
    <n v="0"/>
    <n v="0"/>
    <n v="1"/>
    <n v="0"/>
    <m/>
    <n v="71.8"/>
    <n v="1"/>
  </r>
  <r>
    <s v="USR-100964"/>
    <d v="2025-02-09T00:00:00"/>
    <x v="1"/>
    <x v="3"/>
    <x v="1"/>
    <s v="Organic"/>
    <x v="0"/>
    <n v="0"/>
    <n v="0"/>
    <n v="0"/>
    <n v="0"/>
    <n v="0"/>
    <n v="0"/>
    <n v="0"/>
    <m/>
    <n v="37.9"/>
    <n v="1"/>
  </r>
  <r>
    <s v="USR-100965"/>
    <d v="2025-03-01T00:00:00"/>
    <x v="1"/>
    <x v="0"/>
    <x v="0"/>
    <s v="Social"/>
    <x v="1"/>
    <n v="1"/>
    <n v="0"/>
    <n v="0"/>
    <n v="0"/>
    <n v="0"/>
    <n v="0"/>
    <n v="0"/>
    <m/>
    <n v="59.8"/>
    <n v="1"/>
  </r>
  <r>
    <s v="USR-100966"/>
    <d v="2025-05-07T00:00:00"/>
    <x v="1"/>
    <x v="0"/>
    <x v="1"/>
    <s v="Organic"/>
    <x v="0"/>
    <n v="0"/>
    <n v="0"/>
    <n v="0"/>
    <n v="0"/>
    <n v="0"/>
    <n v="0"/>
    <n v="0"/>
    <m/>
    <n v="66.900000000000006"/>
    <n v="1"/>
  </r>
  <r>
    <s v="USR-100967"/>
    <d v="2025-02-19T00:00:00"/>
    <x v="1"/>
    <x v="3"/>
    <x v="0"/>
    <m/>
    <x v="1"/>
    <n v="1"/>
    <n v="0"/>
    <n v="0"/>
    <n v="0"/>
    <n v="0"/>
    <n v="0"/>
    <n v="0"/>
    <m/>
    <n v="59"/>
    <n v="1"/>
  </r>
  <r>
    <s v="USR-100968"/>
    <d v="2025-02-26T00:00:00"/>
    <x v="1"/>
    <x v="1"/>
    <x v="1"/>
    <s v="Organic"/>
    <x v="2"/>
    <n v="1"/>
    <n v="0"/>
    <n v="0"/>
    <n v="0"/>
    <n v="0"/>
    <n v="0"/>
    <n v="0"/>
    <m/>
    <n v="80.099999999999994"/>
    <n v="1"/>
  </r>
  <r>
    <s v="USR-100969"/>
    <d v="2025-03-23T00:00:00"/>
    <x v="1"/>
    <x v="3"/>
    <x v="1"/>
    <s v="Social"/>
    <x v="1"/>
    <n v="0"/>
    <n v="0"/>
    <n v="0"/>
    <n v="0"/>
    <n v="0"/>
    <n v="0"/>
    <n v="0"/>
    <m/>
    <n v="64.3"/>
    <n v="1"/>
  </r>
  <r>
    <s v="USR-100970"/>
    <d v="2025-04-25T00:00:00"/>
    <x v="1"/>
    <x v="3"/>
    <x v="0"/>
    <s v="Social"/>
    <x v="1"/>
    <n v="0"/>
    <n v="0"/>
    <n v="0"/>
    <n v="0"/>
    <n v="0"/>
    <n v="1"/>
    <n v="0"/>
    <m/>
    <n v="57.4"/>
    <n v="1"/>
  </r>
  <r>
    <s v="USR-100971"/>
    <d v="2025-05-10T00:00:00"/>
    <x v="1"/>
    <x v="0"/>
    <x v="0"/>
    <s v="Social"/>
    <x v="1"/>
    <n v="1"/>
    <n v="1"/>
    <n v="1"/>
    <n v="0"/>
    <n v="0"/>
    <n v="0"/>
    <n v="0"/>
    <m/>
    <n v="83.6"/>
    <n v="1"/>
  </r>
  <r>
    <s v="USR-100972"/>
    <d v="2025-04-22T00:00:00"/>
    <x v="1"/>
    <x v="2"/>
    <x v="1"/>
    <s v="Paid Search"/>
    <x v="2"/>
    <n v="0"/>
    <n v="0"/>
    <n v="0"/>
    <n v="0"/>
    <n v="0"/>
    <n v="0"/>
    <n v="0"/>
    <m/>
    <n v="45.8"/>
    <n v="1"/>
  </r>
  <r>
    <s v="USR-100973"/>
    <d v="2025-02-18T00:00:00"/>
    <x v="1"/>
    <x v="1"/>
    <x v="1"/>
    <s v="Referral"/>
    <x v="0"/>
    <n v="1"/>
    <n v="1"/>
    <n v="1"/>
    <n v="0"/>
    <n v="0"/>
    <n v="0"/>
    <n v="0"/>
    <m/>
    <n v="64.3"/>
    <n v="1"/>
  </r>
  <r>
    <s v="USR-100974"/>
    <d v="2025-01-26T00:00:00"/>
    <x v="1"/>
    <x v="3"/>
    <x v="1"/>
    <s v="Paid Search"/>
    <x v="2"/>
    <n v="1"/>
    <n v="1"/>
    <n v="1"/>
    <n v="0"/>
    <n v="0"/>
    <n v="0"/>
    <n v="0"/>
    <m/>
    <n v="80.5"/>
    <n v="1"/>
  </r>
  <r>
    <s v="USR-100975"/>
    <d v="2025-04-28T00:00:00"/>
    <x v="1"/>
    <x v="0"/>
    <x v="1"/>
    <s v="Organic"/>
    <x v="1"/>
    <n v="1"/>
    <n v="0"/>
    <n v="0"/>
    <n v="0"/>
    <n v="0"/>
    <n v="0"/>
    <n v="0"/>
    <m/>
    <n v="46.3"/>
    <n v="1"/>
  </r>
  <r>
    <s v="USR-100976"/>
    <d v="2025-04-02T00:00:00"/>
    <x v="1"/>
    <x v="3"/>
    <x v="0"/>
    <s v="Email"/>
    <x v="0"/>
    <n v="1"/>
    <n v="0"/>
    <n v="0"/>
    <n v="0"/>
    <n v="0"/>
    <n v="0"/>
    <n v="0"/>
    <m/>
    <n v="71.599999999999994"/>
    <n v="1"/>
  </r>
  <r>
    <s v="USR-100977"/>
    <d v="2025-04-12T00:00:00"/>
    <x v="1"/>
    <x v="3"/>
    <x v="0"/>
    <s v="Email"/>
    <x v="2"/>
    <n v="1"/>
    <n v="1"/>
    <n v="0"/>
    <n v="0"/>
    <n v="0"/>
    <n v="0"/>
    <n v="0"/>
    <m/>
    <n v="57.8"/>
    <n v="1"/>
  </r>
  <r>
    <s v="USR-100978"/>
    <d v="2025-01-03T00:00:00"/>
    <x v="1"/>
    <x v="1"/>
    <x v="0"/>
    <s v="Email"/>
    <x v="0"/>
    <n v="1"/>
    <n v="1"/>
    <n v="1"/>
    <n v="0"/>
    <n v="0"/>
    <n v="1"/>
    <n v="0"/>
    <m/>
    <n v="57.8"/>
    <n v="1"/>
  </r>
  <r>
    <s v="USR-100979"/>
    <d v="2025-05-08T00:00:00"/>
    <x v="1"/>
    <x v="0"/>
    <x v="1"/>
    <s v="Paid Search"/>
    <x v="1"/>
    <n v="1"/>
    <n v="0"/>
    <n v="0"/>
    <n v="0"/>
    <n v="0"/>
    <n v="0"/>
    <n v="0"/>
    <m/>
    <n v="38.299999999999997"/>
    <n v="1"/>
  </r>
  <r>
    <s v="USR-100980"/>
    <d v="2025-02-20T00:00:00"/>
    <x v="1"/>
    <x v="0"/>
    <x v="1"/>
    <s v="Referral"/>
    <x v="2"/>
    <n v="1"/>
    <n v="0"/>
    <n v="0"/>
    <n v="0"/>
    <n v="0"/>
    <n v="1"/>
    <n v="0"/>
    <m/>
    <n v="66.099999999999994"/>
    <n v="1"/>
  </r>
  <r>
    <s v="USR-100981"/>
    <d v="2025-03-17T00:00:00"/>
    <x v="1"/>
    <x v="0"/>
    <x v="0"/>
    <s v="Paid Search"/>
    <x v="2"/>
    <n v="1"/>
    <n v="0"/>
    <n v="0"/>
    <n v="0"/>
    <n v="0"/>
    <n v="0"/>
    <n v="0"/>
    <m/>
    <n v="66.5"/>
    <n v="1"/>
  </r>
  <r>
    <s v="USR-100982"/>
    <d v="2025-04-10T00:00:00"/>
    <x v="1"/>
    <x v="3"/>
    <x v="0"/>
    <s v="Email"/>
    <x v="1"/>
    <n v="1"/>
    <n v="0"/>
    <n v="0"/>
    <n v="0"/>
    <n v="0"/>
    <n v="3"/>
    <n v="0"/>
    <m/>
    <n v="51.5"/>
    <n v="1"/>
  </r>
  <r>
    <s v="USR-100983"/>
    <d v="2025-05-08T00:00:00"/>
    <x v="1"/>
    <x v="0"/>
    <x v="0"/>
    <s v="Referral"/>
    <x v="1"/>
    <n v="1"/>
    <n v="0"/>
    <n v="0"/>
    <n v="0"/>
    <n v="0"/>
    <n v="0"/>
    <n v="0"/>
    <m/>
    <n v="59.9"/>
    <n v="1"/>
  </r>
  <r>
    <s v="USR-100984"/>
    <d v="2025-04-19T00:00:00"/>
    <x v="1"/>
    <x v="1"/>
    <x v="1"/>
    <s v="Paid Search"/>
    <x v="0"/>
    <n v="1"/>
    <n v="0"/>
    <n v="0"/>
    <n v="0"/>
    <n v="0"/>
    <n v="0"/>
    <n v="0"/>
    <m/>
    <n v="58.8"/>
    <n v="1"/>
  </r>
  <r>
    <s v="USR-100985"/>
    <d v="2025-01-01T00:00:00"/>
    <x v="1"/>
    <x v="3"/>
    <x v="2"/>
    <s v="Paid Search"/>
    <x v="0"/>
    <n v="1"/>
    <n v="0"/>
    <n v="0"/>
    <n v="0"/>
    <n v="0"/>
    <n v="0"/>
    <n v="0"/>
    <m/>
    <n v="69.599999999999994"/>
    <n v="1"/>
  </r>
  <r>
    <s v="USR-100986"/>
    <d v="2025-03-10T00:00:00"/>
    <x v="1"/>
    <x v="2"/>
    <x v="1"/>
    <s v="Paid Search"/>
    <x v="1"/>
    <n v="1"/>
    <n v="0"/>
    <n v="0"/>
    <n v="0"/>
    <n v="0"/>
    <n v="0"/>
    <n v="0"/>
    <m/>
    <n v="77.5"/>
    <n v="1"/>
  </r>
  <r>
    <s v="USR-100987"/>
    <d v="2025-03-10T00:00:00"/>
    <x v="1"/>
    <x v="2"/>
    <x v="2"/>
    <s v="Social"/>
    <x v="2"/>
    <n v="0"/>
    <n v="0"/>
    <n v="0"/>
    <n v="0"/>
    <n v="0"/>
    <n v="2"/>
    <n v="0"/>
    <m/>
    <n v="57.5"/>
    <n v="1"/>
  </r>
  <r>
    <s v="USR-100988"/>
    <d v="2025-04-19T00:00:00"/>
    <x v="1"/>
    <x v="1"/>
    <x v="2"/>
    <s v="Email"/>
    <x v="0"/>
    <n v="1"/>
    <n v="0"/>
    <n v="0"/>
    <n v="0"/>
    <n v="0"/>
    <n v="0"/>
    <n v="0"/>
    <m/>
    <n v="64.2"/>
    <n v="1"/>
  </r>
  <r>
    <s v="USR-100989"/>
    <d v="2025-04-11T00:00:00"/>
    <x v="1"/>
    <x v="1"/>
    <x v="0"/>
    <s v="Organic"/>
    <x v="1"/>
    <n v="0"/>
    <n v="0"/>
    <n v="0"/>
    <n v="0"/>
    <n v="0"/>
    <n v="0"/>
    <n v="0"/>
    <m/>
    <n v="60"/>
    <n v="1"/>
  </r>
  <r>
    <s v="USR-100990"/>
    <d v="2025-04-10T00:00:00"/>
    <x v="1"/>
    <x v="2"/>
    <x v="1"/>
    <s v="Organic"/>
    <x v="0"/>
    <n v="1"/>
    <n v="0"/>
    <n v="0"/>
    <n v="0"/>
    <n v="0"/>
    <n v="1"/>
    <n v="0"/>
    <m/>
    <n v="43.7"/>
    <n v="1"/>
  </r>
  <r>
    <s v="USR-100991"/>
    <d v="2025-01-13T00:00:00"/>
    <x v="1"/>
    <x v="1"/>
    <x v="0"/>
    <s v="Social"/>
    <x v="1"/>
    <n v="1"/>
    <n v="0"/>
    <n v="0"/>
    <n v="0"/>
    <n v="0"/>
    <n v="0"/>
    <n v="0"/>
    <m/>
    <n v="64.900000000000006"/>
    <n v="1"/>
  </r>
  <r>
    <s v="USR-100992"/>
    <d v="2025-03-28T00:00:00"/>
    <x v="1"/>
    <x v="3"/>
    <x v="0"/>
    <s v="Organic"/>
    <x v="1"/>
    <n v="1"/>
    <n v="1"/>
    <n v="0"/>
    <n v="0"/>
    <n v="0"/>
    <n v="0"/>
    <n v="0"/>
    <m/>
    <n v="45.5"/>
    <n v="1"/>
  </r>
  <r>
    <s v="USR-100993"/>
    <d v="2025-01-29T00:00:00"/>
    <x v="1"/>
    <x v="2"/>
    <x v="1"/>
    <s v="Paid Search"/>
    <x v="1"/>
    <n v="1"/>
    <n v="1"/>
    <n v="1"/>
    <n v="1"/>
    <n v="1772.97"/>
    <n v="0"/>
    <n v="0"/>
    <n v="8"/>
    <n v="61.2"/>
    <n v="1"/>
  </r>
  <r>
    <s v="USR-100994"/>
    <d v="2025-03-27T00:00:00"/>
    <x v="1"/>
    <x v="3"/>
    <x v="1"/>
    <s v="Referral"/>
    <x v="1"/>
    <n v="0"/>
    <n v="0"/>
    <n v="0"/>
    <n v="0"/>
    <n v="0"/>
    <n v="0"/>
    <n v="0"/>
    <m/>
    <n v="87.8"/>
    <n v="1"/>
  </r>
  <r>
    <s v="USR-100995"/>
    <d v="2025-03-20T00:00:00"/>
    <x v="1"/>
    <x v="2"/>
    <x v="2"/>
    <s v="Social"/>
    <x v="1"/>
    <n v="0"/>
    <n v="0"/>
    <n v="0"/>
    <n v="0"/>
    <n v="0"/>
    <n v="0"/>
    <n v="0"/>
    <m/>
    <n v="86.4"/>
    <n v="1"/>
  </r>
  <r>
    <s v="USR-100996"/>
    <d v="2025-01-09T00:00:00"/>
    <x v="1"/>
    <x v="0"/>
    <x v="1"/>
    <s v="Paid Search"/>
    <x v="0"/>
    <n v="0"/>
    <n v="0"/>
    <n v="0"/>
    <n v="0"/>
    <n v="0"/>
    <n v="1"/>
    <n v="0"/>
    <m/>
    <n v="71.400000000000006"/>
    <n v="1"/>
  </r>
  <r>
    <s v="USR-100997"/>
    <d v="2025-04-25T00:00:00"/>
    <x v="1"/>
    <x v="1"/>
    <x v="1"/>
    <s v="Social"/>
    <x v="1"/>
    <n v="1"/>
    <n v="1"/>
    <n v="1"/>
    <n v="1"/>
    <n v="218.66"/>
    <n v="0"/>
    <n v="1"/>
    <n v="8"/>
    <n v="72.2"/>
    <n v="1"/>
  </r>
  <r>
    <s v="USR-100998"/>
    <d v="2025-04-11T00:00:00"/>
    <x v="1"/>
    <x v="3"/>
    <x v="0"/>
    <s v="Social"/>
    <x v="1"/>
    <n v="1"/>
    <n v="0"/>
    <n v="0"/>
    <n v="0"/>
    <n v="0"/>
    <n v="0"/>
    <n v="0"/>
    <m/>
    <n v="51.9"/>
    <n v="1"/>
  </r>
  <r>
    <s v="USR-100999"/>
    <d v="2025-02-05T00:00:00"/>
    <x v="1"/>
    <x v="2"/>
    <x v="1"/>
    <s v="Social"/>
    <x v="0"/>
    <n v="1"/>
    <n v="1"/>
    <n v="1"/>
    <n v="0"/>
    <n v="0"/>
    <n v="0"/>
    <n v="0"/>
    <m/>
    <n v="70.3"/>
    <n v="1"/>
  </r>
  <r>
    <s v="USR-101000"/>
    <d v="2025-03-28T00:00:00"/>
    <x v="1"/>
    <x v="3"/>
    <x v="1"/>
    <s v="Social"/>
    <x v="2"/>
    <n v="1"/>
    <n v="0"/>
    <n v="0"/>
    <n v="0"/>
    <n v="0"/>
    <n v="1"/>
    <n v="0"/>
    <m/>
    <n v="49.2"/>
    <n v="1"/>
  </r>
  <r>
    <s v="USR-101001"/>
    <d v="2025-05-14T00:00:00"/>
    <x v="1"/>
    <x v="3"/>
    <x v="1"/>
    <s v="Referral"/>
    <x v="1"/>
    <n v="0"/>
    <n v="0"/>
    <n v="0"/>
    <n v="0"/>
    <n v="0"/>
    <n v="0"/>
    <n v="0"/>
    <m/>
    <n v="52.2"/>
    <n v="1"/>
  </r>
  <r>
    <s v="USR-101002"/>
    <d v="2025-03-10T00:00:00"/>
    <x v="1"/>
    <x v="2"/>
    <x v="1"/>
    <s v="Paid Search"/>
    <x v="0"/>
    <n v="0"/>
    <n v="0"/>
    <n v="0"/>
    <n v="0"/>
    <n v="0"/>
    <n v="1"/>
    <n v="0"/>
    <m/>
    <n v="62.6"/>
    <n v="1"/>
  </r>
  <r>
    <s v="USR-101003"/>
    <d v="2025-04-09T00:00:00"/>
    <x v="1"/>
    <x v="2"/>
    <x v="0"/>
    <s v="Paid Search"/>
    <x v="1"/>
    <n v="1"/>
    <n v="1"/>
    <n v="0"/>
    <n v="0"/>
    <n v="0"/>
    <n v="0"/>
    <n v="0"/>
    <m/>
    <n v="100"/>
    <n v="1"/>
  </r>
  <r>
    <s v="USR-101004"/>
    <d v="2025-02-13T00:00:00"/>
    <x v="1"/>
    <x v="0"/>
    <x v="1"/>
    <s v="Referral"/>
    <x v="0"/>
    <n v="1"/>
    <n v="1"/>
    <n v="1"/>
    <n v="0"/>
    <n v="0"/>
    <n v="2"/>
    <n v="0"/>
    <m/>
    <n v="45.9"/>
    <n v="1"/>
  </r>
  <r>
    <s v="USR-101005"/>
    <d v="2025-05-03T00:00:00"/>
    <x v="1"/>
    <x v="2"/>
    <x v="1"/>
    <s v="Email"/>
    <x v="1"/>
    <n v="1"/>
    <n v="1"/>
    <n v="1"/>
    <n v="0"/>
    <n v="0"/>
    <n v="0"/>
    <n v="0"/>
    <m/>
    <n v="80.7"/>
    <n v="1"/>
  </r>
  <r>
    <s v="USR-101006"/>
    <d v="2025-04-16T00:00:00"/>
    <x v="1"/>
    <x v="3"/>
    <x v="0"/>
    <s v="Referral"/>
    <x v="2"/>
    <n v="1"/>
    <n v="0"/>
    <n v="0"/>
    <n v="0"/>
    <n v="0"/>
    <n v="0"/>
    <n v="0"/>
    <m/>
    <n v="51.9"/>
    <n v="1"/>
  </r>
  <r>
    <s v="USR-101007"/>
    <d v="2025-04-30T00:00:00"/>
    <x v="1"/>
    <x v="0"/>
    <x v="1"/>
    <s v="Paid Search"/>
    <x v="2"/>
    <n v="1"/>
    <n v="0"/>
    <n v="0"/>
    <n v="0"/>
    <n v="0"/>
    <n v="0"/>
    <n v="0"/>
    <m/>
    <n v="68.900000000000006"/>
    <n v="1"/>
  </r>
  <r>
    <s v="USR-101008"/>
    <d v="2025-02-18T00:00:00"/>
    <x v="1"/>
    <x v="1"/>
    <x v="0"/>
    <s v="Organic"/>
    <x v="1"/>
    <n v="1"/>
    <n v="0"/>
    <n v="0"/>
    <n v="0"/>
    <n v="0"/>
    <n v="0"/>
    <n v="0"/>
    <m/>
    <n v="66"/>
    <n v="1"/>
  </r>
  <r>
    <s v="USR-101009"/>
    <d v="2025-05-22T00:00:00"/>
    <x v="1"/>
    <x v="1"/>
    <x v="0"/>
    <s v="Referral"/>
    <x v="0"/>
    <n v="0"/>
    <n v="0"/>
    <n v="0"/>
    <n v="0"/>
    <n v="0"/>
    <n v="0"/>
    <n v="0"/>
    <m/>
    <n v="63.1"/>
    <n v="1"/>
  </r>
  <r>
    <s v="USR-101010"/>
    <d v="2025-05-21T00:00:00"/>
    <x v="1"/>
    <x v="3"/>
    <x v="0"/>
    <s v="Organic"/>
    <x v="1"/>
    <n v="0"/>
    <n v="0"/>
    <n v="0"/>
    <n v="0"/>
    <n v="0"/>
    <n v="0"/>
    <n v="0"/>
    <m/>
    <n v="56"/>
    <n v="1"/>
  </r>
  <r>
    <s v="USR-101011"/>
    <d v="2025-04-10T00:00:00"/>
    <x v="1"/>
    <x v="2"/>
    <x v="0"/>
    <s v="Organic"/>
    <x v="1"/>
    <n v="1"/>
    <n v="0"/>
    <n v="0"/>
    <n v="0"/>
    <n v="0"/>
    <n v="1"/>
    <n v="0"/>
    <m/>
    <n v="65.7"/>
    <n v="1"/>
  </r>
  <r>
    <s v="USR-101012"/>
    <d v="2025-01-07T00:00:00"/>
    <x v="1"/>
    <x v="0"/>
    <x v="0"/>
    <s v="Organic"/>
    <x v="2"/>
    <n v="1"/>
    <n v="1"/>
    <n v="1"/>
    <n v="1"/>
    <n v="1938.31"/>
    <n v="1"/>
    <n v="0"/>
    <n v="9"/>
    <n v="60.9"/>
    <n v="1"/>
  </r>
  <r>
    <s v="USR-101013"/>
    <d v="2025-02-03T00:00:00"/>
    <x v="1"/>
    <x v="3"/>
    <x v="0"/>
    <s v="Social"/>
    <x v="1"/>
    <n v="0"/>
    <n v="0"/>
    <n v="0"/>
    <n v="0"/>
    <n v="0"/>
    <n v="0"/>
    <n v="0"/>
    <m/>
    <n v="45.5"/>
    <n v="1"/>
  </r>
  <r>
    <s v="USR-101014"/>
    <d v="2025-05-18T00:00:00"/>
    <x v="1"/>
    <x v="0"/>
    <x v="1"/>
    <s v="Paid Search"/>
    <x v="1"/>
    <n v="1"/>
    <n v="0"/>
    <n v="0"/>
    <n v="0"/>
    <n v="0"/>
    <n v="0"/>
    <n v="0"/>
    <m/>
    <n v="50"/>
    <n v="1"/>
  </r>
  <r>
    <s v="USR-101015"/>
    <d v="2025-01-31T00:00:00"/>
    <x v="1"/>
    <x v="0"/>
    <x v="1"/>
    <s v="Referral"/>
    <x v="1"/>
    <n v="1"/>
    <n v="0"/>
    <n v="0"/>
    <n v="0"/>
    <n v="0"/>
    <n v="0"/>
    <n v="0"/>
    <m/>
    <n v="72.099999999999994"/>
    <n v="1"/>
  </r>
  <r>
    <s v="USR-101016"/>
    <d v="2025-01-16T00:00:00"/>
    <x v="1"/>
    <x v="3"/>
    <x v="0"/>
    <s v="Organic"/>
    <x v="0"/>
    <n v="1"/>
    <n v="0"/>
    <n v="0"/>
    <n v="0"/>
    <n v="0"/>
    <n v="0"/>
    <n v="0"/>
    <m/>
    <n v="76.3"/>
    <n v="1"/>
  </r>
  <r>
    <s v="USR-101017"/>
    <d v="2025-05-14T00:00:00"/>
    <x v="1"/>
    <x v="2"/>
    <x v="1"/>
    <s v="Paid Search"/>
    <x v="0"/>
    <n v="1"/>
    <n v="1"/>
    <n v="0"/>
    <n v="0"/>
    <n v="0"/>
    <n v="1"/>
    <n v="0"/>
    <m/>
    <n v="54.8"/>
    <n v="1"/>
  </r>
  <r>
    <s v="USR-101018"/>
    <d v="2025-04-01T00:00:00"/>
    <x v="1"/>
    <x v="3"/>
    <x v="1"/>
    <m/>
    <x v="0"/>
    <n v="1"/>
    <n v="0"/>
    <n v="0"/>
    <n v="0"/>
    <n v="0"/>
    <n v="0"/>
    <n v="0"/>
    <m/>
    <n v="63.6"/>
    <n v="1"/>
  </r>
  <r>
    <s v="USR-101019"/>
    <d v="2025-04-23T00:00:00"/>
    <x v="1"/>
    <x v="3"/>
    <x v="1"/>
    <s v="Organic"/>
    <x v="1"/>
    <n v="1"/>
    <n v="0"/>
    <n v="0"/>
    <n v="0"/>
    <n v="0"/>
    <n v="0"/>
    <n v="0"/>
    <m/>
    <n v="68.8"/>
    <n v="1"/>
  </r>
  <r>
    <s v="USR-101020"/>
    <d v="2025-03-02T00:00:00"/>
    <x v="1"/>
    <x v="3"/>
    <x v="0"/>
    <s v="Paid Search"/>
    <x v="0"/>
    <n v="1"/>
    <n v="0"/>
    <n v="0"/>
    <n v="0"/>
    <n v="0"/>
    <n v="0"/>
    <n v="0"/>
    <m/>
    <n v="63.2"/>
    <n v="1"/>
  </r>
  <r>
    <s v="USR-101021"/>
    <d v="2025-01-02T00:00:00"/>
    <x v="1"/>
    <x v="2"/>
    <x v="1"/>
    <s v="Paid Search"/>
    <x v="0"/>
    <n v="0"/>
    <n v="0"/>
    <n v="0"/>
    <n v="0"/>
    <n v="0"/>
    <n v="0"/>
    <n v="0"/>
    <m/>
    <n v="45"/>
    <n v="1"/>
  </r>
  <r>
    <s v="USR-101022"/>
    <d v="2025-05-04T00:00:00"/>
    <x v="1"/>
    <x v="3"/>
    <x v="1"/>
    <s v="Organic"/>
    <x v="1"/>
    <n v="1"/>
    <n v="0"/>
    <n v="0"/>
    <n v="0"/>
    <n v="0"/>
    <n v="0"/>
    <n v="0"/>
    <m/>
    <n v="77.400000000000006"/>
    <n v="1"/>
  </r>
  <r>
    <s v="USR-101023"/>
    <d v="2025-01-16T00:00:00"/>
    <x v="1"/>
    <x v="2"/>
    <x v="0"/>
    <s v="Paid Search"/>
    <x v="0"/>
    <n v="0"/>
    <n v="0"/>
    <n v="0"/>
    <n v="0"/>
    <n v="0"/>
    <n v="0"/>
    <n v="0"/>
    <m/>
    <n v="53.1"/>
    <n v="1"/>
  </r>
  <r>
    <s v="USR-101024"/>
    <d v="2025-02-11T00:00:00"/>
    <x v="1"/>
    <x v="1"/>
    <x v="2"/>
    <s v="Paid Search"/>
    <x v="2"/>
    <n v="0"/>
    <n v="0"/>
    <n v="0"/>
    <n v="0"/>
    <n v="0"/>
    <n v="0"/>
    <n v="0"/>
    <m/>
    <n v="74"/>
    <n v="1"/>
  </r>
  <r>
    <s v="USR-101025"/>
    <d v="2025-04-03T00:00:00"/>
    <x v="1"/>
    <x v="0"/>
    <x v="1"/>
    <s v="Social"/>
    <x v="2"/>
    <n v="1"/>
    <n v="1"/>
    <n v="1"/>
    <n v="1"/>
    <n v="1906.23"/>
    <n v="0"/>
    <n v="0"/>
    <n v="4"/>
    <n v="84.6"/>
    <n v="1"/>
  </r>
  <r>
    <s v="USR-101026"/>
    <d v="2025-03-26T00:00:00"/>
    <x v="1"/>
    <x v="2"/>
    <x v="1"/>
    <s v="Referral"/>
    <x v="1"/>
    <n v="1"/>
    <n v="0"/>
    <n v="0"/>
    <n v="0"/>
    <n v="0"/>
    <n v="0"/>
    <n v="0"/>
    <m/>
    <n v="57"/>
    <n v="1"/>
  </r>
  <r>
    <s v="USR-101027"/>
    <d v="2025-05-16T00:00:00"/>
    <x v="1"/>
    <x v="3"/>
    <x v="1"/>
    <s v="Email"/>
    <x v="2"/>
    <n v="0"/>
    <n v="0"/>
    <n v="0"/>
    <n v="0"/>
    <n v="0"/>
    <n v="0"/>
    <n v="0"/>
    <m/>
    <n v="46.3"/>
    <n v="1"/>
  </r>
  <r>
    <s v="USR-101028"/>
    <d v="2025-04-20T00:00:00"/>
    <x v="1"/>
    <x v="1"/>
    <x v="1"/>
    <s v="Social"/>
    <x v="1"/>
    <n v="0"/>
    <n v="0"/>
    <n v="0"/>
    <n v="0"/>
    <n v="0"/>
    <n v="1"/>
    <n v="0"/>
    <m/>
    <n v="64.400000000000006"/>
    <n v="1"/>
  </r>
  <r>
    <s v="USR-101029"/>
    <d v="2025-04-15T00:00:00"/>
    <x v="1"/>
    <x v="1"/>
    <x v="1"/>
    <s v="Paid Search"/>
    <x v="1"/>
    <n v="1"/>
    <n v="0"/>
    <n v="0"/>
    <n v="0"/>
    <n v="0"/>
    <n v="2"/>
    <n v="0"/>
    <m/>
    <n v="61.9"/>
    <n v="1"/>
  </r>
  <r>
    <s v="USR-101030"/>
    <d v="2025-01-24T00:00:00"/>
    <x v="1"/>
    <x v="0"/>
    <x v="1"/>
    <s v="Organic"/>
    <x v="2"/>
    <n v="1"/>
    <n v="1"/>
    <n v="1"/>
    <n v="0"/>
    <n v="0"/>
    <n v="0"/>
    <n v="0"/>
    <m/>
    <n v="93.7"/>
    <n v="1"/>
  </r>
  <r>
    <s v="USR-101031"/>
    <d v="2025-04-11T00:00:00"/>
    <x v="1"/>
    <x v="3"/>
    <x v="1"/>
    <s v="Referral"/>
    <x v="0"/>
    <n v="0"/>
    <n v="0"/>
    <n v="0"/>
    <n v="0"/>
    <n v="0"/>
    <n v="0"/>
    <n v="0"/>
    <m/>
    <n v="61.6"/>
    <n v="1"/>
  </r>
  <r>
    <s v="USR-101032"/>
    <d v="2025-05-19T00:00:00"/>
    <x v="1"/>
    <x v="0"/>
    <x v="1"/>
    <s v="Paid Search"/>
    <x v="1"/>
    <n v="1"/>
    <n v="0"/>
    <n v="0"/>
    <n v="0"/>
    <n v="0"/>
    <n v="0"/>
    <n v="0"/>
    <m/>
    <n v="72.2"/>
    <n v="1"/>
  </r>
  <r>
    <s v="USR-101033"/>
    <d v="2025-01-14T00:00:00"/>
    <x v="1"/>
    <x v="0"/>
    <x v="1"/>
    <s v="Organic"/>
    <x v="0"/>
    <n v="0"/>
    <n v="0"/>
    <n v="0"/>
    <n v="0"/>
    <n v="0"/>
    <n v="0"/>
    <n v="0"/>
    <m/>
    <n v="69.5"/>
    <n v="1"/>
  </r>
  <r>
    <s v="USR-101034"/>
    <d v="2025-02-28T00:00:00"/>
    <x v="1"/>
    <x v="2"/>
    <x v="0"/>
    <s v="Organic"/>
    <x v="0"/>
    <n v="0"/>
    <n v="0"/>
    <n v="0"/>
    <n v="0"/>
    <n v="0"/>
    <n v="0"/>
    <n v="0"/>
    <m/>
    <n v="59.7"/>
    <n v="1"/>
  </r>
  <r>
    <s v="USR-101035"/>
    <d v="2025-05-18T00:00:00"/>
    <x v="1"/>
    <x v="2"/>
    <x v="2"/>
    <s v="Paid Search"/>
    <x v="0"/>
    <n v="1"/>
    <n v="0"/>
    <n v="0"/>
    <n v="0"/>
    <n v="0"/>
    <n v="0"/>
    <n v="0"/>
    <m/>
    <n v="73.900000000000006"/>
    <n v="1"/>
  </r>
  <r>
    <s v="USR-101036"/>
    <d v="2025-01-04T00:00:00"/>
    <x v="1"/>
    <x v="0"/>
    <x v="1"/>
    <s v="Social"/>
    <x v="1"/>
    <n v="0"/>
    <n v="0"/>
    <n v="0"/>
    <n v="0"/>
    <n v="0"/>
    <n v="0"/>
    <n v="0"/>
    <m/>
    <n v="41.5"/>
    <n v="1"/>
  </r>
  <r>
    <s v="USR-101037"/>
    <d v="2025-01-16T00:00:00"/>
    <x v="1"/>
    <x v="1"/>
    <x v="1"/>
    <s v="Social"/>
    <x v="2"/>
    <n v="1"/>
    <n v="0"/>
    <n v="0"/>
    <n v="0"/>
    <n v="0"/>
    <n v="0"/>
    <n v="0"/>
    <m/>
    <n v="82.8"/>
    <n v="1"/>
  </r>
  <r>
    <s v="USR-101038"/>
    <d v="2025-03-14T00:00:00"/>
    <x v="1"/>
    <x v="1"/>
    <x v="1"/>
    <s v="Social"/>
    <x v="2"/>
    <n v="1"/>
    <n v="0"/>
    <n v="0"/>
    <n v="0"/>
    <n v="0"/>
    <n v="3"/>
    <n v="0"/>
    <m/>
    <n v="70.2"/>
    <n v="1"/>
  </r>
  <r>
    <s v="USR-101039"/>
    <d v="2025-01-23T00:00:00"/>
    <x v="1"/>
    <x v="2"/>
    <x v="1"/>
    <s v="Paid Search"/>
    <x v="0"/>
    <n v="1"/>
    <n v="0"/>
    <n v="0"/>
    <n v="0"/>
    <n v="0"/>
    <n v="1"/>
    <n v="0"/>
    <m/>
    <n v="69.400000000000006"/>
    <n v="1"/>
  </r>
  <r>
    <s v="USR-101040"/>
    <d v="2025-02-03T00:00:00"/>
    <x v="1"/>
    <x v="0"/>
    <x v="0"/>
    <s v="Organic"/>
    <x v="0"/>
    <n v="1"/>
    <n v="0"/>
    <n v="0"/>
    <n v="0"/>
    <n v="0"/>
    <n v="0"/>
    <n v="0"/>
    <m/>
    <n v="60.4"/>
    <n v="1"/>
  </r>
  <r>
    <s v="USR-101041"/>
    <d v="2025-05-16T00:00:00"/>
    <x v="1"/>
    <x v="2"/>
    <x v="1"/>
    <s v="Referral"/>
    <x v="1"/>
    <n v="1"/>
    <n v="0"/>
    <n v="0"/>
    <n v="0"/>
    <n v="0"/>
    <n v="0"/>
    <n v="0"/>
    <m/>
    <n v="45.7"/>
    <n v="1"/>
  </r>
  <r>
    <s v="USR-101042"/>
    <d v="2025-01-11T00:00:00"/>
    <x v="1"/>
    <x v="1"/>
    <x v="1"/>
    <s v="Organic"/>
    <x v="0"/>
    <n v="0"/>
    <n v="0"/>
    <n v="0"/>
    <n v="0"/>
    <n v="0"/>
    <n v="1"/>
    <n v="0"/>
    <m/>
    <n v="42.2"/>
    <n v="1"/>
  </r>
  <r>
    <s v="USR-101043"/>
    <d v="2025-05-25T00:00:00"/>
    <x v="1"/>
    <x v="0"/>
    <x v="0"/>
    <s v="Organic"/>
    <x v="1"/>
    <n v="0"/>
    <n v="0"/>
    <n v="0"/>
    <n v="0"/>
    <n v="0"/>
    <n v="2"/>
    <n v="0"/>
    <m/>
    <n v="61.9"/>
    <n v="1"/>
  </r>
  <r>
    <s v="USR-101044"/>
    <d v="2025-05-08T00:00:00"/>
    <x v="1"/>
    <x v="2"/>
    <x v="1"/>
    <s v="Paid Search"/>
    <x v="2"/>
    <n v="0"/>
    <n v="0"/>
    <n v="0"/>
    <n v="0"/>
    <n v="0"/>
    <n v="0"/>
    <n v="0"/>
    <m/>
    <n v="44.9"/>
    <n v="1"/>
  </r>
  <r>
    <s v="USR-101045"/>
    <d v="2025-02-26T00:00:00"/>
    <x v="1"/>
    <x v="2"/>
    <x v="0"/>
    <m/>
    <x v="0"/>
    <n v="1"/>
    <n v="0"/>
    <n v="0"/>
    <n v="0"/>
    <n v="0"/>
    <n v="0"/>
    <n v="0"/>
    <m/>
    <n v="68"/>
    <n v="1"/>
  </r>
  <r>
    <s v="USR-101046"/>
    <d v="2025-03-30T00:00:00"/>
    <x v="1"/>
    <x v="0"/>
    <x v="1"/>
    <s v="Paid Search"/>
    <x v="1"/>
    <n v="1"/>
    <n v="0"/>
    <n v="0"/>
    <n v="0"/>
    <n v="0"/>
    <n v="0"/>
    <n v="0"/>
    <m/>
    <n v="61"/>
    <n v="1"/>
  </r>
  <r>
    <s v="USR-101047"/>
    <d v="2025-04-13T00:00:00"/>
    <x v="1"/>
    <x v="1"/>
    <x v="1"/>
    <s v="Organic"/>
    <x v="0"/>
    <n v="1"/>
    <n v="0"/>
    <n v="0"/>
    <n v="0"/>
    <n v="0"/>
    <n v="0"/>
    <n v="0"/>
    <m/>
    <n v="55"/>
    <n v="1"/>
  </r>
  <r>
    <s v="USR-101048"/>
    <d v="2025-02-20T00:00:00"/>
    <x v="1"/>
    <x v="2"/>
    <x v="3"/>
    <s v="Paid Search"/>
    <x v="0"/>
    <n v="1"/>
    <n v="0"/>
    <n v="0"/>
    <n v="0"/>
    <n v="0"/>
    <n v="0"/>
    <n v="0"/>
    <m/>
    <n v="63.1"/>
    <n v="1"/>
  </r>
  <r>
    <s v="USR-101049"/>
    <d v="2025-04-19T00:00:00"/>
    <x v="1"/>
    <x v="1"/>
    <x v="0"/>
    <s v="Social"/>
    <x v="1"/>
    <n v="1"/>
    <n v="0"/>
    <n v="0"/>
    <n v="0"/>
    <n v="0"/>
    <n v="0"/>
    <n v="0"/>
    <m/>
    <n v="75.8"/>
    <n v="1"/>
  </r>
  <r>
    <s v="USR-101050"/>
    <d v="2025-03-22T00:00:00"/>
    <x v="1"/>
    <x v="3"/>
    <x v="1"/>
    <s v="Paid Search"/>
    <x v="1"/>
    <n v="1"/>
    <n v="1"/>
    <n v="0"/>
    <n v="0"/>
    <n v="0"/>
    <n v="1"/>
    <n v="0"/>
    <m/>
    <n v="43.8"/>
    <n v="1"/>
  </r>
  <r>
    <s v="USR-101051"/>
    <d v="2025-02-28T00:00:00"/>
    <x v="1"/>
    <x v="0"/>
    <x v="1"/>
    <s v="Email"/>
    <x v="0"/>
    <n v="1"/>
    <n v="1"/>
    <n v="0"/>
    <n v="0"/>
    <n v="0"/>
    <n v="0"/>
    <n v="0"/>
    <m/>
    <n v="46.8"/>
    <n v="1"/>
  </r>
  <r>
    <s v="USR-101052"/>
    <d v="2025-05-24T00:00:00"/>
    <x v="1"/>
    <x v="2"/>
    <x v="1"/>
    <s v="Social"/>
    <x v="1"/>
    <n v="1"/>
    <n v="1"/>
    <n v="1"/>
    <n v="0"/>
    <n v="0"/>
    <n v="0"/>
    <n v="0"/>
    <m/>
    <n v="97.4"/>
    <n v="1"/>
  </r>
  <r>
    <s v="USR-101053"/>
    <d v="2025-02-03T00:00:00"/>
    <x v="1"/>
    <x v="0"/>
    <x v="0"/>
    <s v="Email"/>
    <x v="1"/>
    <n v="1"/>
    <n v="1"/>
    <n v="1"/>
    <n v="1"/>
    <n v="268.95999999999998"/>
    <n v="0"/>
    <n v="0"/>
    <n v="14"/>
    <n v="81"/>
    <n v="1"/>
  </r>
  <r>
    <s v="USR-101054"/>
    <d v="2025-01-27T00:00:00"/>
    <x v="1"/>
    <x v="3"/>
    <x v="1"/>
    <s v="Organic"/>
    <x v="1"/>
    <n v="1"/>
    <n v="0"/>
    <n v="0"/>
    <n v="0"/>
    <n v="0"/>
    <n v="1"/>
    <n v="0"/>
    <m/>
    <n v="58.9"/>
    <n v="1"/>
  </r>
  <r>
    <s v="USR-101055"/>
    <d v="2025-04-17T00:00:00"/>
    <x v="1"/>
    <x v="2"/>
    <x v="1"/>
    <s v="Organic"/>
    <x v="1"/>
    <n v="1"/>
    <n v="0"/>
    <n v="0"/>
    <n v="0"/>
    <n v="0"/>
    <n v="0"/>
    <n v="0"/>
    <m/>
    <n v="51.9"/>
    <n v="1"/>
  </r>
  <r>
    <s v="USR-101056"/>
    <d v="2025-02-06T00:00:00"/>
    <x v="1"/>
    <x v="1"/>
    <x v="1"/>
    <s v="Social"/>
    <x v="1"/>
    <n v="1"/>
    <n v="1"/>
    <n v="0"/>
    <n v="0"/>
    <n v="0"/>
    <n v="0"/>
    <n v="0"/>
    <m/>
    <n v="61.7"/>
    <n v="1"/>
  </r>
  <r>
    <s v="USR-101057"/>
    <d v="2025-04-20T00:00:00"/>
    <x v="1"/>
    <x v="3"/>
    <x v="1"/>
    <s v="Paid Search"/>
    <x v="1"/>
    <n v="1"/>
    <n v="0"/>
    <n v="0"/>
    <n v="0"/>
    <n v="0"/>
    <n v="0"/>
    <n v="0"/>
    <m/>
    <n v="44.7"/>
    <n v="1"/>
  </r>
  <r>
    <s v="USR-101058"/>
    <d v="2025-05-06T00:00:00"/>
    <x v="1"/>
    <x v="0"/>
    <x v="1"/>
    <s v="Paid Search"/>
    <x v="0"/>
    <n v="0"/>
    <n v="0"/>
    <n v="0"/>
    <n v="0"/>
    <n v="0"/>
    <n v="0"/>
    <n v="0"/>
    <m/>
    <n v="63.2"/>
    <n v="1"/>
  </r>
  <r>
    <s v="USR-101059"/>
    <d v="2025-05-16T00:00:00"/>
    <x v="1"/>
    <x v="3"/>
    <x v="1"/>
    <s v="Organic"/>
    <x v="1"/>
    <n v="1"/>
    <n v="0"/>
    <n v="0"/>
    <n v="0"/>
    <n v="0"/>
    <n v="0"/>
    <n v="0"/>
    <m/>
    <n v="70.3"/>
    <n v="2"/>
  </r>
  <r>
    <s v="USR-101060"/>
    <d v="2025-03-02T00:00:00"/>
    <x v="1"/>
    <x v="3"/>
    <x v="1"/>
    <s v="Paid Search"/>
    <x v="2"/>
    <n v="1"/>
    <n v="1"/>
    <n v="0"/>
    <n v="0"/>
    <n v="0"/>
    <n v="1"/>
    <n v="0"/>
    <m/>
    <n v="83.1"/>
    <n v="1"/>
  </r>
  <r>
    <s v="USR-101061"/>
    <d v="2025-04-09T00:00:00"/>
    <x v="1"/>
    <x v="1"/>
    <x v="1"/>
    <s v="Social"/>
    <x v="1"/>
    <n v="0"/>
    <n v="0"/>
    <n v="0"/>
    <n v="0"/>
    <n v="0"/>
    <n v="0"/>
    <n v="0"/>
    <m/>
    <n v="50.3"/>
    <n v="1"/>
  </r>
  <r>
    <s v="USR-101062"/>
    <d v="2025-01-26T00:00:00"/>
    <x v="1"/>
    <x v="2"/>
    <x v="1"/>
    <s v="Paid Search"/>
    <x v="1"/>
    <n v="1"/>
    <n v="1"/>
    <n v="1"/>
    <n v="1"/>
    <n v="437.09"/>
    <n v="2"/>
    <n v="1"/>
    <n v="1"/>
    <n v="58.2"/>
    <n v="1"/>
  </r>
  <r>
    <s v="USR-101063"/>
    <d v="2025-02-25T00:00:00"/>
    <x v="1"/>
    <x v="3"/>
    <x v="1"/>
    <s v="Paid Search"/>
    <x v="0"/>
    <n v="1"/>
    <n v="1"/>
    <n v="1"/>
    <n v="0"/>
    <n v="0"/>
    <n v="0"/>
    <n v="0"/>
    <m/>
    <n v="53.2"/>
    <n v="1"/>
  </r>
  <r>
    <s v="USR-101064"/>
    <d v="2025-01-07T00:00:00"/>
    <x v="1"/>
    <x v="2"/>
    <x v="1"/>
    <s v="Organic"/>
    <x v="2"/>
    <n v="0"/>
    <n v="0"/>
    <n v="0"/>
    <n v="0"/>
    <n v="0"/>
    <n v="0"/>
    <n v="0"/>
    <m/>
    <n v="36.4"/>
    <n v="1"/>
  </r>
  <r>
    <s v="USR-101065"/>
    <d v="2025-03-08T00:00:00"/>
    <x v="1"/>
    <x v="3"/>
    <x v="1"/>
    <s v="Social"/>
    <x v="0"/>
    <n v="1"/>
    <n v="1"/>
    <n v="1"/>
    <n v="0"/>
    <n v="0"/>
    <n v="0"/>
    <n v="0"/>
    <m/>
    <n v="72.7"/>
    <n v="1"/>
  </r>
  <r>
    <s v="USR-101066"/>
    <d v="2025-05-22T00:00:00"/>
    <x v="1"/>
    <x v="2"/>
    <x v="1"/>
    <s v="Referral"/>
    <x v="1"/>
    <n v="1"/>
    <n v="0"/>
    <n v="0"/>
    <n v="0"/>
    <n v="0"/>
    <n v="1"/>
    <n v="0"/>
    <m/>
    <n v="86.7"/>
    <n v="1"/>
  </r>
  <r>
    <s v="USR-101067"/>
    <d v="2025-04-18T00:00:00"/>
    <x v="1"/>
    <x v="2"/>
    <x v="1"/>
    <s v="Paid Search"/>
    <x v="2"/>
    <n v="1"/>
    <n v="0"/>
    <n v="0"/>
    <n v="0"/>
    <n v="0"/>
    <n v="0"/>
    <n v="0"/>
    <m/>
    <n v="48.2"/>
    <n v="1"/>
  </r>
  <r>
    <s v="USR-101068"/>
    <d v="2025-02-24T00:00:00"/>
    <x v="1"/>
    <x v="1"/>
    <x v="1"/>
    <s v="Referral"/>
    <x v="0"/>
    <n v="0"/>
    <n v="0"/>
    <n v="0"/>
    <n v="0"/>
    <n v="0"/>
    <n v="1"/>
    <n v="0"/>
    <m/>
    <n v="57.6"/>
    <n v="1"/>
  </r>
  <r>
    <s v="USR-101069"/>
    <d v="2025-02-11T00:00:00"/>
    <x v="1"/>
    <x v="0"/>
    <x v="1"/>
    <s v="Organic"/>
    <x v="1"/>
    <n v="1"/>
    <n v="1"/>
    <n v="1"/>
    <n v="0"/>
    <n v="0"/>
    <n v="0"/>
    <n v="0"/>
    <m/>
    <n v="75.7"/>
    <n v="1"/>
  </r>
  <r>
    <s v="USR-101070"/>
    <d v="2025-03-11T00:00:00"/>
    <x v="1"/>
    <x v="1"/>
    <x v="0"/>
    <s v="Paid Search"/>
    <x v="1"/>
    <n v="1"/>
    <n v="0"/>
    <n v="0"/>
    <n v="0"/>
    <n v="0"/>
    <n v="2"/>
    <n v="0"/>
    <m/>
    <n v="48.6"/>
    <n v="1"/>
  </r>
  <r>
    <s v="USR-101071"/>
    <d v="2025-04-11T00:00:00"/>
    <x v="1"/>
    <x v="2"/>
    <x v="2"/>
    <s v="Referral"/>
    <x v="1"/>
    <n v="1"/>
    <n v="1"/>
    <n v="1"/>
    <n v="0"/>
    <n v="0"/>
    <n v="0"/>
    <n v="0"/>
    <m/>
    <n v="72"/>
    <n v="1"/>
  </r>
  <r>
    <s v="USR-101072"/>
    <d v="2025-03-11T00:00:00"/>
    <x v="1"/>
    <x v="0"/>
    <x v="1"/>
    <s v="Organic"/>
    <x v="1"/>
    <n v="0"/>
    <n v="0"/>
    <n v="0"/>
    <n v="0"/>
    <n v="0"/>
    <n v="0"/>
    <n v="0"/>
    <m/>
    <n v="72.2"/>
    <n v="1"/>
  </r>
  <r>
    <s v="USR-101073"/>
    <d v="2025-05-22T00:00:00"/>
    <x v="1"/>
    <x v="2"/>
    <x v="1"/>
    <s v="Referral"/>
    <x v="1"/>
    <n v="1"/>
    <n v="0"/>
    <n v="0"/>
    <n v="0"/>
    <n v="0"/>
    <n v="1"/>
    <n v="0"/>
    <m/>
    <m/>
    <n v="1"/>
  </r>
  <r>
    <s v="USR-101074"/>
    <d v="2025-02-22T00:00:00"/>
    <x v="1"/>
    <x v="3"/>
    <x v="0"/>
    <s v="Organic"/>
    <x v="1"/>
    <n v="1"/>
    <n v="1"/>
    <n v="1"/>
    <n v="1"/>
    <n v="331.53"/>
    <n v="2"/>
    <n v="0"/>
    <n v="4"/>
    <n v="56.8"/>
    <n v="1"/>
  </r>
  <r>
    <s v="USR-101075"/>
    <d v="2025-01-13T00:00:00"/>
    <x v="1"/>
    <x v="2"/>
    <x v="1"/>
    <s v="Paid Search"/>
    <x v="0"/>
    <n v="1"/>
    <n v="0"/>
    <n v="0"/>
    <n v="0"/>
    <n v="0"/>
    <n v="0"/>
    <n v="0"/>
    <m/>
    <n v="62.5"/>
    <n v="1"/>
  </r>
  <r>
    <s v="USR-101076"/>
    <d v="2025-05-19T00:00:00"/>
    <x v="1"/>
    <x v="3"/>
    <x v="1"/>
    <s v="Organic"/>
    <x v="1"/>
    <n v="1"/>
    <n v="0"/>
    <n v="0"/>
    <n v="0"/>
    <n v="0"/>
    <n v="0"/>
    <n v="0"/>
    <m/>
    <n v="63.4"/>
    <n v="1"/>
  </r>
  <r>
    <s v="USR-101077"/>
    <d v="2025-03-08T00:00:00"/>
    <x v="1"/>
    <x v="0"/>
    <x v="2"/>
    <s v="Organic"/>
    <x v="0"/>
    <n v="1"/>
    <n v="1"/>
    <n v="1"/>
    <n v="1"/>
    <n v="774.78"/>
    <n v="0"/>
    <n v="0"/>
    <n v="3"/>
    <n v="46.8"/>
    <n v="1"/>
  </r>
  <r>
    <s v="USR-101078"/>
    <d v="2025-04-20T00:00:00"/>
    <x v="1"/>
    <x v="3"/>
    <x v="1"/>
    <s v="Organic"/>
    <x v="1"/>
    <n v="1"/>
    <n v="1"/>
    <n v="1"/>
    <n v="1"/>
    <n v="422.02"/>
    <n v="0"/>
    <n v="0"/>
    <n v="8"/>
    <n v="86.5"/>
    <n v="1"/>
  </r>
  <r>
    <s v="USR-101079"/>
    <d v="2025-05-08T00:00:00"/>
    <x v="1"/>
    <x v="1"/>
    <x v="1"/>
    <s v="Email"/>
    <x v="0"/>
    <n v="0"/>
    <n v="0"/>
    <n v="0"/>
    <n v="0"/>
    <n v="0"/>
    <n v="1"/>
    <n v="0"/>
    <m/>
    <n v="75.099999999999994"/>
    <n v="1"/>
  </r>
  <r>
    <s v="USR-101080"/>
    <d v="2025-05-10T00:00:00"/>
    <x v="1"/>
    <x v="3"/>
    <x v="1"/>
    <s v="Organic"/>
    <x v="0"/>
    <n v="1"/>
    <n v="0"/>
    <n v="0"/>
    <n v="0"/>
    <n v="0"/>
    <n v="0"/>
    <n v="0"/>
    <m/>
    <n v="64.5"/>
    <n v="1"/>
  </r>
  <r>
    <s v="USR-101081"/>
    <d v="2025-03-28T00:00:00"/>
    <x v="1"/>
    <x v="2"/>
    <x v="1"/>
    <s v="Organic"/>
    <x v="1"/>
    <n v="1"/>
    <n v="0"/>
    <n v="0"/>
    <n v="0"/>
    <n v="0"/>
    <n v="0"/>
    <n v="0"/>
    <m/>
    <n v="54.2"/>
    <n v="1"/>
  </r>
  <r>
    <s v="USR-101082"/>
    <d v="2025-04-30T00:00:00"/>
    <x v="1"/>
    <x v="2"/>
    <x v="1"/>
    <s v="Paid Search"/>
    <x v="2"/>
    <n v="1"/>
    <n v="1"/>
    <n v="1"/>
    <n v="0"/>
    <n v="0"/>
    <n v="0"/>
    <n v="0"/>
    <m/>
    <n v="84.1"/>
    <n v="1"/>
  </r>
  <r>
    <s v="USR-101083"/>
    <d v="2025-02-08T00:00:00"/>
    <x v="1"/>
    <x v="0"/>
    <x v="1"/>
    <s v="Organic"/>
    <x v="0"/>
    <n v="0"/>
    <n v="0"/>
    <n v="0"/>
    <n v="0"/>
    <n v="0"/>
    <n v="1"/>
    <n v="0"/>
    <m/>
    <n v="49.1"/>
    <n v="1"/>
  </r>
  <r>
    <s v="USR-101084"/>
    <d v="2025-03-07T00:00:00"/>
    <x v="1"/>
    <x v="3"/>
    <x v="1"/>
    <s v="Referral"/>
    <x v="2"/>
    <n v="0"/>
    <n v="0"/>
    <n v="0"/>
    <n v="0"/>
    <n v="0"/>
    <n v="0"/>
    <n v="0"/>
    <m/>
    <n v="92.7"/>
    <n v="1"/>
  </r>
  <r>
    <s v="USR-101085"/>
    <d v="2025-05-21T00:00:00"/>
    <x v="1"/>
    <x v="3"/>
    <x v="1"/>
    <s v="Social"/>
    <x v="0"/>
    <n v="1"/>
    <n v="1"/>
    <n v="1"/>
    <n v="0"/>
    <n v="0"/>
    <n v="1"/>
    <n v="0"/>
    <m/>
    <n v="58.7"/>
    <n v="1"/>
  </r>
  <r>
    <s v="USR-101086"/>
    <d v="2025-04-12T00:00:00"/>
    <x v="1"/>
    <x v="3"/>
    <x v="1"/>
    <s v="Social"/>
    <x v="1"/>
    <n v="1"/>
    <n v="1"/>
    <n v="1"/>
    <n v="0"/>
    <n v="0"/>
    <n v="0"/>
    <n v="0"/>
    <m/>
    <n v="59.3"/>
    <n v="1"/>
  </r>
  <r>
    <s v="USR-101087"/>
    <d v="2025-02-02T00:00:00"/>
    <x v="1"/>
    <x v="3"/>
    <x v="1"/>
    <s v="Paid Search"/>
    <x v="1"/>
    <n v="1"/>
    <n v="0"/>
    <n v="0"/>
    <n v="0"/>
    <n v="0"/>
    <n v="0"/>
    <n v="0"/>
    <m/>
    <n v="62"/>
    <n v="1"/>
  </r>
  <r>
    <s v="USR-101088"/>
    <d v="2025-04-22T00:00:00"/>
    <x v="1"/>
    <x v="0"/>
    <x v="2"/>
    <s v="Referral"/>
    <x v="1"/>
    <n v="1"/>
    <n v="1"/>
    <n v="1"/>
    <n v="0"/>
    <n v="0"/>
    <n v="1"/>
    <n v="0"/>
    <m/>
    <n v="60.3"/>
    <n v="1"/>
  </r>
  <r>
    <s v="USR-101089"/>
    <d v="2025-02-08T00:00:00"/>
    <x v="1"/>
    <x v="0"/>
    <x v="1"/>
    <s v="Social"/>
    <x v="0"/>
    <n v="1"/>
    <n v="0"/>
    <n v="0"/>
    <n v="0"/>
    <n v="0"/>
    <n v="0"/>
    <n v="0"/>
    <m/>
    <n v="70.5"/>
    <n v="1"/>
  </r>
  <r>
    <s v="USR-101090"/>
    <d v="2025-01-24T00:00:00"/>
    <x v="1"/>
    <x v="3"/>
    <x v="0"/>
    <s v="Email"/>
    <x v="1"/>
    <n v="1"/>
    <n v="0"/>
    <n v="0"/>
    <n v="0"/>
    <n v="0"/>
    <n v="0"/>
    <n v="0"/>
    <m/>
    <n v="36.799999999999997"/>
    <n v="1"/>
  </r>
  <r>
    <s v="USR-101091"/>
    <d v="2025-05-12T00:00:00"/>
    <x v="1"/>
    <x v="3"/>
    <x v="1"/>
    <s v="Paid Search"/>
    <x v="0"/>
    <n v="0"/>
    <n v="0"/>
    <n v="0"/>
    <n v="0"/>
    <n v="0"/>
    <n v="1"/>
    <n v="0"/>
    <m/>
    <n v="73.2"/>
    <n v="1"/>
  </r>
  <r>
    <s v="USR-101092"/>
    <d v="2025-03-30T00:00:00"/>
    <x v="1"/>
    <x v="0"/>
    <x v="1"/>
    <s v="Organic"/>
    <x v="0"/>
    <n v="0"/>
    <n v="0"/>
    <n v="0"/>
    <n v="0"/>
    <n v="0"/>
    <n v="0"/>
    <n v="0"/>
    <m/>
    <n v="70.099999999999994"/>
    <n v="1"/>
  </r>
  <r>
    <s v="USR-101093"/>
    <d v="2025-01-02T00:00:00"/>
    <x v="1"/>
    <x v="3"/>
    <x v="0"/>
    <s v="Paid Search"/>
    <x v="0"/>
    <n v="1"/>
    <n v="0"/>
    <n v="0"/>
    <n v="0"/>
    <n v="0"/>
    <n v="0"/>
    <n v="0"/>
    <m/>
    <n v="76.400000000000006"/>
    <n v="1"/>
  </r>
  <r>
    <s v="USR-101094"/>
    <d v="2025-03-21T00:00:00"/>
    <x v="1"/>
    <x v="3"/>
    <x v="2"/>
    <s v="Email"/>
    <x v="0"/>
    <n v="0"/>
    <n v="0"/>
    <n v="0"/>
    <n v="0"/>
    <n v="0"/>
    <n v="0"/>
    <n v="0"/>
    <m/>
    <n v="46.4"/>
    <n v="1"/>
  </r>
  <r>
    <s v="USR-101095"/>
    <d v="2025-01-25T00:00:00"/>
    <x v="1"/>
    <x v="1"/>
    <x v="1"/>
    <s v="Organic"/>
    <x v="1"/>
    <n v="1"/>
    <n v="1"/>
    <n v="1"/>
    <n v="0"/>
    <n v="0"/>
    <n v="1"/>
    <n v="0"/>
    <m/>
    <n v="81.3"/>
    <n v="1"/>
  </r>
  <r>
    <s v="USR-101096"/>
    <d v="2025-01-12T00:00:00"/>
    <x v="1"/>
    <x v="3"/>
    <x v="2"/>
    <s v="Social"/>
    <x v="1"/>
    <n v="1"/>
    <n v="1"/>
    <n v="1"/>
    <n v="0"/>
    <n v="0"/>
    <n v="0"/>
    <n v="0"/>
    <m/>
    <n v="55.3"/>
    <n v="1"/>
  </r>
  <r>
    <s v="USR-101097"/>
    <d v="2025-03-18T00:00:00"/>
    <x v="1"/>
    <x v="2"/>
    <x v="0"/>
    <s v="Referral"/>
    <x v="1"/>
    <n v="1"/>
    <n v="0"/>
    <n v="0"/>
    <n v="0"/>
    <n v="0"/>
    <n v="0"/>
    <n v="0"/>
    <m/>
    <n v="44.7"/>
    <n v="1"/>
  </r>
  <r>
    <s v="USR-101098"/>
    <d v="2025-03-26T00:00:00"/>
    <x v="1"/>
    <x v="2"/>
    <x v="1"/>
    <s v="Paid Search"/>
    <x v="0"/>
    <n v="1"/>
    <n v="0"/>
    <n v="0"/>
    <n v="0"/>
    <n v="0"/>
    <n v="0"/>
    <n v="0"/>
    <m/>
    <n v="67.2"/>
    <n v="1"/>
  </r>
  <r>
    <s v="USR-101099"/>
    <d v="2025-04-19T00:00:00"/>
    <x v="1"/>
    <x v="0"/>
    <x v="1"/>
    <s v="Paid Search"/>
    <x v="0"/>
    <n v="1"/>
    <n v="0"/>
    <n v="0"/>
    <n v="0"/>
    <n v="0"/>
    <n v="0"/>
    <n v="0"/>
    <m/>
    <m/>
    <n v="1"/>
  </r>
  <r>
    <s v="USR-101100"/>
    <d v="2025-04-17T00:00:00"/>
    <x v="1"/>
    <x v="2"/>
    <x v="1"/>
    <s v="Organic"/>
    <x v="2"/>
    <n v="1"/>
    <n v="1"/>
    <n v="1"/>
    <n v="0"/>
    <n v="0"/>
    <n v="1"/>
    <n v="0"/>
    <m/>
    <n v="70.8"/>
    <n v="1"/>
  </r>
  <r>
    <s v="USR-101101"/>
    <d v="2025-05-26T00:00:00"/>
    <x v="1"/>
    <x v="3"/>
    <x v="1"/>
    <s v="Paid Search"/>
    <x v="1"/>
    <n v="1"/>
    <n v="0"/>
    <n v="0"/>
    <n v="0"/>
    <n v="0"/>
    <n v="0"/>
    <n v="0"/>
    <m/>
    <n v="71.3"/>
    <n v="1"/>
  </r>
  <r>
    <s v="USR-101102"/>
    <d v="2025-04-14T00:00:00"/>
    <x v="1"/>
    <x v="0"/>
    <x v="1"/>
    <s v="Social"/>
    <x v="2"/>
    <n v="1"/>
    <n v="1"/>
    <n v="1"/>
    <n v="0"/>
    <n v="0"/>
    <n v="0"/>
    <n v="0"/>
    <m/>
    <n v="69.400000000000006"/>
    <n v="1"/>
  </r>
  <r>
    <s v="USR-101103"/>
    <d v="2025-01-23T00:00:00"/>
    <x v="1"/>
    <x v="3"/>
    <x v="1"/>
    <s v="Organic"/>
    <x v="0"/>
    <n v="1"/>
    <n v="1"/>
    <n v="0"/>
    <n v="0"/>
    <n v="0"/>
    <n v="0"/>
    <n v="0"/>
    <m/>
    <n v="58.9"/>
    <n v="1"/>
  </r>
  <r>
    <s v="USR-101104"/>
    <d v="2025-01-06T00:00:00"/>
    <x v="1"/>
    <x v="2"/>
    <x v="1"/>
    <s v="Referral"/>
    <x v="1"/>
    <n v="0"/>
    <n v="0"/>
    <n v="0"/>
    <n v="0"/>
    <n v="0"/>
    <n v="0"/>
    <n v="0"/>
    <m/>
    <n v="70.7"/>
    <n v="1"/>
  </r>
  <r>
    <s v="USR-101105"/>
    <d v="2025-05-31T00:00:00"/>
    <x v="1"/>
    <x v="1"/>
    <x v="1"/>
    <s v="Email"/>
    <x v="0"/>
    <n v="1"/>
    <n v="0"/>
    <n v="0"/>
    <n v="0"/>
    <n v="0"/>
    <n v="0"/>
    <n v="0"/>
    <m/>
    <n v="60.5"/>
    <n v="1"/>
  </r>
  <r>
    <s v="USR-101106"/>
    <d v="2025-05-19T00:00:00"/>
    <x v="1"/>
    <x v="0"/>
    <x v="1"/>
    <s v="Organic"/>
    <x v="0"/>
    <n v="1"/>
    <n v="1"/>
    <n v="1"/>
    <n v="0"/>
    <n v="0"/>
    <n v="0"/>
    <n v="0"/>
    <m/>
    <n v="77.3"/>
    <n v="1"/>
  </r>
  <r>
    <s v="USR-101107"/>
    <d v="2025-02-25T00:00:00"/>
    <x v="1"/>
    <x v="0"/>
    <x v="1"/>
    <s v="Organic"/>
    <x v="1"/>
    <n v="0"/>
    <n v="0"/>
    <n v="0"/>
    <n v="0"/>
    <n v="0"/>
    <n v="1"/>
    <n v="0"/>
    <m/>
    <n v="39.5"/>
    <n v="1"/>
  </r>
  <r>
    <s v="USR-101108"/>
    <d v="2025-01-10T00:00:00"/>
    <x v="1"/>
    <x v="3"/>
    <x v="2"/>
    <s v="Organic"/>
    <x v="0"/>
    <n v="1"/>
    <n v="0"/>
    <n v="0"/>
    <n v="0"/>
    <n v="0"/>
    <n v="0"/>
    <n v="0"/>
    <m/>
    <n v="68.099999999999994"/>
    <n v="1"/>
  </r>
  <r>
    <s v="USR-101109"/>
    <d v="2025-05-13T00:00:00"/>
    <x v="1"/>
    <x v="0"/>
    <x v="2"/>
    <s v="Paid Search"/>
    <x v="1"/>
    <n v="0"/>
    <n v="0"/>
    <n v="0"/>
    <n v="0"/>
    <n v="0"/>
    <n v="0"/>
    <n v="0"/>
    <m/>
    <n v="80.3"/>
    <n v="1"/>
  </r>
  <r>
    <s v="USR-101110"/>
    <d v="2025-04-27T00:00:00"/>
    <x v="1"/>
    <x v="1"/>
    <x v="0"/>
    <s v="Organic"/>
    <x v="2"/>
    <n v="1"/>
    <n v="0"/>
    <n v="0"/>
    <n v="0"/>
    <n v="0"/>
    <n v="0"/>
    <n v="0"/>
    <m/>
    <n v="77.7"/>
    <n v="1"/>
  </r>
  <r>
    <s v="USR-101111"/>
    <d v="2025-04-03T00:00:00"/>
    <x v="1"/>
    <x v="3"/>
    <x v="1"/>
    <s v="Organic"/>
    <x v="1"/>
    <n v="1"/>
    <n v="0"/>
    <n v="0"/>
    <n v="0"/>
    <n v="0"/>
    <n v="1"/>
    <n v="0"/>
    <m/>
    <n v="66.2"/>
    <n v="1"/>
  </r>
  <r>
    <s v="USR-101112"/>
    <d v="2025-03-26T00:00:00"/>
    <x v="1"/>
    <x v="3"/>
    <x v="1"/>
    <s v="Organic"/>
    <x v="1"/>
    <n v="1"/>
    <n v="1"/>
    <n v="1"/>
    <n v="0"/>
    <n v="0"/>
    <n v="1"/>
    <n v="0"/>
    <m/>
    <n v="43.9"/>
    <n v="1"/>
  </r>
  <r>
    <s v="USR-101113"/>
    <d v="2025-01-31T00:00:00"/>
    <x v="1"/>
    <x v="3"/>
    <x v="1"/>
    <s v="Organic"/>
    <x v="0"/>
    <n v="1"/>
    <n v="1"/>
    <n v="1"/>
    <n v="0"/>
    <n v="0"/>
    <n v="2"/>
    <n v="0"/>
    <m/>
    <n v="59.1"/>
    <n v="1"/>
  </r>
  <r>
    <s v="USR-101114"/>
    <d v="2025-01-25T00:00:00"/>
    <x v="1"/>
    <x v="3"/>
    <x v="1"/>
    <s v="Social"/>
    <x v="1"/>
    <n v="1"/>
    <n v="1"/>
    <n v="1"/>
    <n v="1"/>
    <n v="416.94"/>
    <n v="1"/>
    <n v="0"/>
    <n v="11"/>
    <n v="67"/>
    <n v="1"/>
  </r>
  <r>
    <s v="USR-101115"/>
    <d v="2025-02-06T00:00:00"/>
    <x v="1"/>
    <x v="1"/>
    <x v="1"/>
    <s v="Referral"/>
    <x v="0"/>
    <n v="1"/>
    <n v="0"/>
    <n v="0"/>
    <n v="0"/>
    <n v="0"/>
    <n v="0"/>
    <n v="0"/>
    <m/>
    <n v="47.9"/>
    <n v="1"/>
  </r>
  <r>
    <s v="USR-101116"/>
    <d v="2025-03-10T00:00:00"/>
    <x v="1"/>
    <x v="2"/>
    <x v="1"/>
    <s v="Paid Search"/>
    <x v="1"/>
    <n v="1"/>
    <n v="1"/>
    <n v="0"/>
    <n v="0"/>
    <n v="0"/>
    <n v="0"/>
    <n v="0"/>
    <m/>
    <n v="41.5"/>
    <n v="1"/>
  </r>
  <r>
    <s v="USR-101117"/>
    <d v="2025-01-26T00:00:00"/>
    <x v="1"/>
    <x v="1"/>
    <x v="1"/>
    <s v="Organic"/>
    <x v="0"/>
    <n v="1"/>
    <n v="1"/>
    <n v="1"/>
    <n v="0"/>
    <n v="0"/>
    <n v="3"/>
    <n v="0"/>
    <m/>
    <n v="30.6"/>
    <n v="1"/>
  </r>
  <r>
    <s v="USR-101118"/>
    <d v="2025-01-01T00:00:00"/>
    <x v="1"/>
    <x v="2"/>
    <x v="1"/>
    <s v="Paid Search"/>
    <x v="1"/>
    <n v="1"/>
    <n v="1"/>
    <n v="0"/>
    <n v="0"/>
    <n v="0"/>
    <n v="0"/>
    <n v="0"/>
    <m/>
    <n v="91.5"/>
    <n v="1"/>
  </r>
  <r>
    <s v="USR-101119"/>
    <d v="2025-04-28T00:00:00"/>
    <x v="1"/>
    <x v="0"/>
    <x v="0"/>
    <s v="Social"/>
    <x v="0"/>
    <n v="1"/>
    <n v="0"/>
    <n v="0"/>
    <n v="0"/>
    <n v="0"/>
    <n v="0"/>
    <n v="0"/>
    <m/>
    <n v="80.8"/>
    <n v="1"/>
  </r>
  <r>
    <s v="USR-101120"/>
    <d v="2025-04-04T00:00:00"/>
    <x v="1"/>
    <x v="0"/>
    <x v="1"/>
    <s v="Organic"/>
    <x v="2"/>
    <n v="1"/>
    <n v="0"/>
    <n v="0"/>
    <n v="0"/>
    <n v="0"/>
    <n v="0"/>
    <n v="0"/>
    <m/>
    <n v="68.099999999999994"/>
    <n v="1"/>
  </r>
  <r>
    <s v="USR-101121"/>
    <d v="2025-03-02T00:00:00"/>
    <x v="1"/>
    <x v="2"/>
    <x v="1"/>
    <s v="Paid Search"/>
    <x v="1"/>
    <n v="1"/>
    <n v="0"/>
    <n v="0"/>
    <n v="0"/>
    <n v="0"/>
    <n v="0"/>
    <n v="0"/>
    <m/>
    <n v="80.3"/>
    <n v="1"/>
  </r>
  <r>
    <s v="USR-101122"/>
    <d v="2025-03-19T00:00:00"/>
    <x v="1"/>
    <x v="3"/>
    <x v="2"/>
    <s v="Organic"/>
    <x v="0"/>
    <n v="1"/>
    <n v="0"/>
    <n v="0"/>
    <n v="0"/>
    <n v="0"/>
    <n v="0"/>
    <n v="0"/>
    <m/>
    <n v="44.4"/>
    <n v="1"/>
  </r>
  <r>
    <s v="USR-101123"/>
    <d v="2025-01-20T00:00:00"/>
    <x v="1"/>
    <x v="3"/>
    <x v="0"/>
    <s v="Organic"/>
    <x v="0"/>
    <n v="0"/>
    <n v="0"/>
    <n v="0"/>
    <n v="0"/>
    <n v="0"/>
    <n v="0"/>
    <n v="0"/>
    <m/>
    <n v="51.9"/>
    <n v="1"/>
  </r>
  <r>
    <s v="USR-101124"/>
    <d v="2025-04-03T00:00:00"/>
    <x v="1"/>
    <x v="2"/>
    <x v="1"/>
    <s v="Paid Search"/>
    <x v="1"/>
    <n v="1"/>
    <n v="1"/>
    <n v="0"/>
    <n v="0"/>
    <n v="0"/>
    <n v="0"/>
    <n v="0"/>
    <m/>
    <n v="49.8"/>
    <n v="1"/>
  </r>
  <r>
    <s v="USR-101125"/>
    <d v="2025-01-11T00:00:00"/>
    <x v="1"/>
    <x v="2"/>
    <x v="0"/>
    <s v="Social"/>
    <x v="1"/>
    <n v="1"/>
    <n v="1"/>
    <n v="1"/>
    <n v="0"/>
    <n v="0"/>
    <n v="3"/>
    <n v="0"/>
    <m/>
    <n v="62.1"/>
    <n v="1"/>
  </r>
  <r>
    <s v="USR-101126"/>
    <d v="2025-02-02T00:00:00"/>
    <x v="1"/>
    <x v="1"/>
    <x v="0"/>
    <s v="Social"/>
    <x v="0"/>
    <n v="1"/>
    <n v="0"/>
    <n v="0"/>
    <n v="0"/>
    <n v="0"/>
    <n v="0"/>
    <n v="0"/>
    <m/>
    <n v="91.3"/>
    <n v="1"/>
  </r>
  <r>
    <s v="USR-101127"/>
    <d v="2025-04-01T00:00:00"/>
    <x v="1"/>
    <x v="3"/>
    <x v="1"/>
    <s v="Organic"/>
    <x v="0"/>
    <n v="1"/>
    <n v="0"/>
    <n v="0"/>
    <n v="0"/>
    <n v="0"/>
    <n v="0"/>
    <n v="0"/>
    <m/>
    <n v="66.400000000000006"/>
    <n v="1"/>
  </r>
  <r>
    <s v="USR-101128"/>
    <d v="2025-05-22T00:00:00"/>
    <x v="1"/>
    <x v="2"/>
    <x v="1"/>
    <s v="Organic"/>
    <x v="0"/>
    <n v="1"/>
    <n v="0"/>
    <n v="0"/>
    <n v="0"/>
    <n v="0"/>
    <n v="0"/>
    <n v="0"/>
    <m/>
    <n v="41.5"/>
    <n v="1"/>
  </r>
  <r>
    <s v="USR-101129"/>
    <d v="2025-02-20T00:00:00"/>
    <x v="1"/>
    <x v="1"/>
    <x v="1"/>
    <s v="Organic"/>
    <x v="0"/>
    <n v="0"/>
    <n v="0"/>
    <n v="0"/>
    <n v="0"/>
    <n v="0"/>
    <n v="0"/>
    <n v="0"/>
    <m/>
    <n v="77.099999999999994"/>
    <n v="1"/>
  </r>
  <r>
    <s v="USR-101130"/>
    <d v="2025-03-21T00:00:00"/>
    <x v="1"/>
    <x v="1"/>
    <x v="1"/>
    <s v="Organic"/>
    <x v="1"/>
    <n v="1"/>
    <n v="0"/>
    <n v="0"/>
    <n v="0"/>
    <n v="0"/>
    <n v="0"/>
    <n v="0"/>
    <m/>
    <n v="63.2"/>
    <n v="1"/>
  </r>
  <r>
    <s v="USR-101131"/>
    <d v="2025-05-01T00:00:00"/>
    <x v="1"/>
    <x v="1"/>
    <x v="0"/>
    <s v="Referral"/>
    <x v="1"/>
    <n v="1"/>
    <n v="1"/>
    <n v="1"/>
    <n v="0"/>
    <n v="0"/>
    <n v="3"/>
    <n v="0"/>
    <m/>
    <n v="75.7"/>
    <n v="1"/>
  </r>
  <r>
    <s v="USR-101132"/>
    <d v="2025-01-06T00:00:00"/>
    <x v="1"/>
    <x v="1"/>
    <x v="1"/>
    <s v="Paid Search"/>
    <x v="0"/>
    <n v="0"/>
    <n v="0"/>
    <n v="0"/>
    <n v="0"/>
    <n v="0"/>
    <n v="0"/>
    <n v="0"/>
    <m/>
    <n v="62.9"/>
    <n v="1"/>
  </r>
  <r>
    <s v="USR-101133"/>
    <d v="2025-04-12T00:00:00"/>
    <x v="1"/>
    <x v="0"/>
    <x v="0"/>
    <s v="Paid Search"/>
    <x v="2"/>
    <n v="1"/>
    <n v="0"/>
    <n v="0"/>
    <n v="0"/>
    <n v="0"/>
    <n v="3"/>
    <n v="0"/>
    <m/>
    <n v="64.599999999999994"/>
    <n v="1"/>
  </r>
  <r>
    <s v="USR-101134"/>
    <d v="2025-04-18T00:00:00"/>
    <x v="1"/>
    <x v="0"/>
    <x v="1"/>
    <m/>
    <x v="0"/>
    <n v="1"/>
    <n v="0"/>
    <n v="0"/>
    <n v="0"/>
    <n v="0"/>
    <n v="0"/>
    <n v="0"/>
    <m/>
    <n v="76.599999999999994"/>
    <n v="1"/>
  </r>
  <r>
    <s v="USR-101135"/>
    <d v="2025-03-24T00:00:00"/>
    <x v="1"/>
    <x v="2"/>
    <x v="1"/>
    <s v="Social"/>
    <x v="0"/>
    <n v="1"/>
    <n v="0"/>
    <n v="0"/>
    <n v="0"/>
    <n v="0"/>
    <n v="0"/>
    <n v="0"/>
    <m/>
    <n v="74.8"/>
    <n v="1"/>
  </r>
  <r>
    <s v="USR-101136"/>
    <d v="2025-03-18T00:00:00"/>
    <x v="1"/>
    <x v="2"/>
    <x v="0"/>
    <s v="Email"/>
    <x v="2"/>
    <n v="1"/>
    <n v="0"/>
    <n v="0"/>
    <n v="0"/>
    <n v="0"/>
    <n v="2"/>
    <n v="0"/>
    <m/>
    <n v="38.1"/>
    <n v="1"/>
  </r>
  <r>
    <s v="USR-101137"/>
    <d v="2025-04-30T00:00:00"/>
    <x v="1"/>
    <x v="3"/>
    <x v="2"/>
    <s v="Paid Search"/>
    <x v="0"/>
    <n v="1"/>
    <n v="1"/>
    <n v="0"/>
    <n v="0"/>
    <n v="0"/>
    <n v="0"/>
    <n v="0"/>
    <m/>
    <n v="60.2"/>
    <n v="1"/>
  </r>
  <r>
    <s v="USR-101138"/>
    <d v="2025-01-25T00:00:00"/>
    <x v="1"/>
    <x v="1"/>
    <x v="1"/>
    <s v="Email"/>
    <x v="1"/>
    <n v="1"/>
    <n v="1"/>
    <n v="0"/>
    <n v="0"/>
    <n v="0"/>
    <n v="0"/>
    <n v="0"/>
    <m/>
    <n v="73.5"/>
    <n v="1"/>
  </r>
  <r>
    <s v="USR-101139"/>
    <d v="2025-04-10T00:00:00"/>
    <x v="1"/>
    <x v="3"/>
    <x v="1"/>
    <s v="Organic"/>
    <x v="1"/>
    <n v="1"/>
    <n v="0"/>
    <n v="0"/>
    <n v="0"/>
    <n v="0"/>
    <n v="0"/>
    <n v="0"/>
    <m/>
    <n v="70.900000000000006"/>
    <n v="1"/>
  </r>
  <r>
    <s v="USR-101140"/>
    <d v="2025-01-10T00:00:00"/>
    <x v="1"/>
    <x v="1"/>
    <x v="1"/>
    <s v="Social"/>
    <x v="1"/>
    <n v="1"/>
    <n v="0"/>
    <n v="0"/>
    <n v="0"/>
    <n v="0"/>
    <n v="0"/>
    <n v="0"/>
    <m/>
    <n v="63.7"/>
    <n v="1"/>
  </r>
  <r>
    <s v="USR-101141"/>
    <d v="2025-02-11T00:00:00"/>
    <x v="1"/>
    <x v="3"/>
    <x v="1"/>
    <s v="Paid Search"/>
    <x v="1"/>
    <n v="1"/>
    <n v="0"/>
    <n v="0"/>
    <n v="0"/>
    <n v="0"/>
    <n v="0"/>
    <n v="0"/>
    <m/>
    <n v="86.5"/>
    <n v="1"/>
  </r>
  <r>
    <s v="USR-101142"/>
    <d v="2025-05-01T00:00:00"/>
    <x v="1"/>
    <x v="2"/>
    <x v="1"/>
    <s v="Social"/>
    <x v="0"/>
    <n v="1"/>
    <n v="1"/>
    <n v="1"/>
    <n v="1"/>
    <n v="921.72"/>
    <n v="3"/>
    <n v="0"/>
    <n v="7"/>
    <n v="74.599999999999994"/>
    <n v="1"/>
  </r>
  <r>
    <s v="USR-101143"/>
    <d v="2025-01-18T00:00:00"/>
    <x v="1"/>
    <x v="2"/>
    <x v="1"/>
    <s v="Organic"/>
    <x v="1"/>
    <n v="1"/>
    <n v="0"/>
    <n v="0"/>
    <n v="0"/>
    <n v="0"/>
    <n v="0"/>
    <n v="0"/>
    <m/>
    <n v="46.6"/>
    <n v="1"/>
  </r>
  <r>
    <s v="USR-101144"/>
    <d v="2025-01-02T00:00:00"/>
    <x v="1"/>
    <x v="0"/>
    <x v="1"/>
    <s v="Paid Search"/>
    <x v="1"/>
    <n v="0"/>
    <n v="0"/>
    <n v="0"/>
    <n v="0"/>
    <n v="0"/>
    <n v="0"/>
    <n v="0"/>
    <m/>
    <n v="61.2"/>
    <n v="1"/>
  </r>
  <r>
    <s v="USR-101145"/>
    <d v="2025-05-11T00:00:00"/>
    <x v="1"/>
    <x v="1"/>
    <x v="1"/>
    <s v="Organic"/>
    <x v="1"/>
    <n v="1"/>
    <n v="1"/>
    <n v="1"/>
    <n v="1"/>
    <n v="290.39"/>
    <n v="0"/>
    <n v="0"/>
    <n v="4"/>
    <n v="54.4"/>
    <n v="1"/>
  </r>
  <r>
    <s v="USR-101146"/>
    <d v="2025-03-22T00:00:00"/>
    <x v="1"/>
    <x v="0"/>
    <x v="1"/>
    <s v="Referral"/>
    <x v="1"/>
    <n v="1"/>
    <n v="1"/>
    <n v="1"/>
    <n v="0"/>
    <n v="0"/>
    <n v="0"/>
    <n v="0"/>
    <m/>
    <n v="72"/>
    <n v="1"/>
  </r>
  <r>
    <s v="USR-101147"/>
    <d v="2025-05-02T00:00:00"/>
    <x v="1"/>
    <x v="3"/>
    <x v="1"/>
    <s v="Social"/>
    <x v="2"/>
    <n v="1"/>
    <n v="1"/>
    <n v="1"/>
    <n v="1"/>
    <n v="1858.85"/>
    <n v="0"/>
    <n v="0"/>
    <n v="8"/>
    <n v="88.6"/>
    <n v="1"/>
  </r>
  <r>
    <s v="USR-101148"/>
    <d v="2025-05-26T00:00:00"/>
    <x v="1"/>
    <x v="2"/>
    <x v="0"/>
    <m/>
    <x v="0"/>
    <n v="1"/>
    <n v="0"/>
    <n v="0"/>
    <n v="0"/>
    <n v="0"/>
    <n v="0"/>
    <n v="0"/>
    <m/>
    <n v="77.599999999999994"/>
    <n v="1"/>
  </r>
  <r>
    <s v="USR-101149"/>
    <d v="2025-03-13T00:00:00"/>
    <x v="1"/>
    <x v="3"/>
    <x v="1"/>
    <s v="Organic"/>
    <x v="0"/>
    <n v="1"/>
    <n v="0"/>
    <n v="0"/>
    <n v="0"/>
    <n v="0"/>
    <n v="1"/>
    <n v="0"/>
    <m/>
    <n v="44.3"/>
    <n v="1"/>
  </r>
  <r>
    <s v="USR-101150"/>
    <d v="2025-05-17T00:00:00"/>
    <x v="1"/>
    <x v="3"/>
    <x v="0"/>
    <s v="Paid Search"/>
    <x v="1"/>
    <n v="1"/>
    <n v="1"/>
    <n v="0"/>
    <n v="0"/>
    <n v="0"/>
    <n v="0"/>
    <n v="0"/>
    <m/>
    <n v="49"/>
    <n v="1"/>
  </r>
  <r>
    <s v="USR-101151"/>
    <d v="2025-03-13T00:00:00"/>
    <x v="1"/>
    <x v="0"/>
    <x v="0"/>
    <s v="Referral"/>
    <x v="2"/>
    <n v="1"/>
    <n v="0"/>
    <n v="0"/>
    <n v="0"/>
    <n v="0"/>
    <n v="0"/>
    <n v="0"/>
    <m/>
    <n v="53.9"/>
    <n v="1"/>
  </r>
  <r>
    <s v="USR-101152"/>
    <d v="2025-02-11T00:00:00"/>
    <x v="1"/>
    <x v="2"/>
    <x v="0"/>
    <s v="Organic"/>
    <x v="0"/>
    <n v="1"/>
    <n v="0"/>
    <n v="0"/>
    <n v="0"/>
    <n v="0"/>
    <n v="1"/>
    <n v="0"/>
    <m/>
    <n v="69"/>
    <n v="1"/>
  </r>
  <r>
    <s v="USR-101153"/>
    <d v="2025-03-01T00:00:00"/>
    <x v="1"/>
    <x v="1"/>
    <x v="1"/>
    <s v="Social"/>
    <x v="1"/>
    <n v="0"/>
    <n v="0"/>
    <n v="0"/>
    <n v="0"/>
    <n v="0"/>
    <n v="0"/>
    <n v="0"/>
    <m/>
    <n v="37.4"/>
    <n v="1"/>
  </r>
  <r>
    <s v="USR-101154"/>
    <d v="2025-04-15T00:00:00"/>
    <x v="1"/>
    <x v="1"/>
    <x v="1"/>
    <s v="Organic"/>
    <x v="0"/>
    <n v="0"/>
    <n v="0"/>
    <n v="0"/>
    <n v="0"/>
    <n v="0"/>
    <n v="0"/>
    <n v="0"/>
    <m/>
    <n v="59"/>
    <n v="1"/>
  </r>
  <r>
    <s v="USR-101155"/>
    <d v="2025-02-02T00:00:00"/>
    <x v="1"/>
    <x v="2"/>
    <x v="1"/>
    <s v="Organic"/>
    <x v="2"/>
    <n v="1"/>
    <n v="0"/>
    <n v="0"/>
    <n v="0"/>
    <n v="0"/>
    <n v="0"/>
    <n v="0"/>
    <m/>
    <n v="60.8"/>
    <n v="1"/>
  </r>
  <r>
    <s v="USR-101156"/>
    <d v="2025-05-19T00:00:00"/>
    <x v="1"/>
    <x v="3"/>
    <x v="1"/>
    <s v="Email"/>
    <x v="1"/>
    <n v="1"/>
    <n v="0"/>
    <n v="0"/>
    <n v="0"/>
    <n v="0"/>
    <n v="0"/>
    <n v="0"/>
    <m/>
    <n v="57.5"/>
    <n v="1"/>
  </r>
  <r>
    <s v="USR-101157"/>
    <d v="2025-01-05T00:00:00"/>
    <x v="1"/>
    <x v="1"/>
    <x v="1"/>
    <s v="Referral"/>
    <x v="1"/>
    <n v="0"/>
    <n v="0"/>
    <n v="0"/>
    <n v="0"/>
    <n v="0"/>
    <n v="0"/>
    <n v="0"/>
    <m/>
    <n v="84.2"/>
    <n v="1"/>
  </r>
  <r>
    <s v="USR-101158"/>
    <d v="2025-03-08T00:00:00"/>
    <x v="1"/>
    <x v="3"/>
    <x v="1"/>
    <s v="Paid Search"/>
    <x v="1"/>
    <n v="1"/>
    <n v="1"/>
    <n v="0"/>
    <n v="0"/>
    <n v="0"/>
    <n v="0"/>
    <n v="0"/>
    <m/>
    <n v="27.4"/>
    <n v="1"/>
  </r>
  <r>
    <s v="USR-101159"/>
    <d v="2025-03-12T00:00:00"/>
    <x v="1"/>
    <x v="1"/>
    <x v="1"/>
    <s v="Email"/>
    <x v="0"/>
    <n v="1"/>
    <n v="0"/>
    <n v="0"/>
    <n v="0"/>
    <n v="0"/>
    <n v="1"/>
    <n v="0"/>
    <m/>
    <n v="67.599999999999994"/>
    <n v="1"/>
  </r>
  <r>
    <s v="USR-101160"/>
    <d v="2025-01-24T00:00:00"/>
    <x v="1"/>
    <x v="1"/>
    <x v="1"/>
    <s v="Organic"/>
    <x v="1"/>
    <n v="0"/>
    <n v="0"/>
    <n v="0"/>
    <n v="0"/>
    <n v="0"/>
    <n v="0"/>
    <n v="0"/>
    <m/>
    <n v="68.400000000000006"/>
    <n v="1"/>
  </r>
  <r>
    <s v="USR-101161"/>
    <d v="2025-05-22T00:00:00"/>
    <x v="1"/>
    <x v="3"/>
    <x v="1"/>
    <s v="Paid Search"/>
    <x v="0"/>
    <n v="1"/>
    <n v="1"/>
    <n v="1"/>
    <n v="0"/>
    <n v="0"/>
    <n v="0"/>
    <n v="0"/>
    <m/>
    <n v="66.5"/>
    <n v="1"/>
  </r>
  <r>
    <s v="USR-101162"/>
    <d v="2025-03-27T00:00:00"/>
    <x v="1"/>
    <x v="3"/>
    <x v="1"/>
    <s v="Paid Search"/>
    <x v="1"/>
    <n v="1"/>
    <n v="0"/>
    <n v="0"/>
    <n v="0"/>
    <n v="0"/>
    <n v="0"/>
    <n v="0"/>
    <m/>
    <n v="38.200000000000003"/>
    <n v="1"/>
  </r>
  <r>
    <s v="USR-101163"/>
    <d v="2025-01-02T00:00:00"/>
    <x v="1"/>
    <x v="1"/>
    <x v="1"/>
    <s v="Social"/>
    <x v="1"/>
    <n v="0"/>
    <n v="0"/>
    <n v="0"/>
    <n v="0"/>
    <n v="0"/>
    <n v="1"/>
    <n v="0"/>
    <m/>
    <n v="66.7"/>
    <n v="1"/>
  </r>
  <r>
    <s v="USR-101164"/>
    <d v="2025-02-24T00:00:00"/>
    <x v="1"/>
    <x v="0"/>
    <x v="1"/>
    <s v="Paid Search"/>
    <x v="1"/>
    <n v="0"/>
    <n v="0"/>
    <n v="0"/>
    <n v="0"/>
    <n v="0"/>
    <n v="1"/>
    <n v="0"/>
    <m/>
    <n v="73.7"/>
    <n v="1"/>
  </r>
  <r>
    <s v="USR-101165"/>
    <d v="2025-03-01T00:00:00"/>
    <x v="1"/>
    <x v="1"/>
    <x v="0"/>
    <s v="Organic"/>
    <x v="0"/>
    <n v="1"/>
    <n v="1"/>
    <n v="1"/>
    <n v="0"/>
    <n v="0"/>
    <n v="0"/>
    <n v="0"/>
    <m/>
    <n v="63.9"/>
    <n v="1"/>
  </r>
  <r>
    <s v="USR-101166"/>
    <d v="2025-03-26T00:00:00"/>
    <x v="1"/>
    <x v="3"/>
    <x v="2"/>
    <s v="Organic"/>
    <x v="0"/>
    <n v="1"/>
    <n v="0"/>
    <n v="0"/>
    <n v="0"/>
    <n v="0"/>
    <n v="1"/>
    <n v="0"/>
    <m/>
    <n v="82.6"/>
    <n v="1"/>
  </r>
  <r>
    <s v="USR-101167"/>
    <d v="2025-05-25T00:00:00"/>
    <x v="1"/>
    <x v="2"/>
    <x v="1"/>
    <s v="Paid Search"/>
    <x v="1"/>
    <n v="0"/>
    <n v="0"/>
    <n v="0"/>
    <n v="0"/>
    <n v="0"/>
    <n v="1"/>
    <n v="0"/>
    <m/>
    <n v="58.3"/>
    <n v="1"/>
  </r>
  <r>
    <s v="USR-101168"/>
    <d v="2025-02-25T00:00:00"/>
    <x v="1"/>
    <x v="1"/>
    <x v="1"/>
    <s v="Referral"/>
    <x v="2"/>
    <n v="1"/>
    <n v="1"/>
    <n v="1"/>
    <n v="1"/>
    <n v="1547.06"/>
    <n v="0"/>
    <n v="1"/>
    <n v="2"/>
    <n v="72.900000000000006"/>
    <n v="1"/>
  </r>
  <r>
    <s v="USR-101169"/>
    <d v="2025-03-23T00:00:00"/>
    <x v="1"/>
    <x v="3"/>
    <x v="1"/>
    <s v="Social"/>
    <x v="1"/>
    <n v="1"/>
    <n v="1"/>
    <n v="1"/>
    <n v="0"/>
    <n v="0"/>
    <n v="2"/>
    <n v="0"/>
    <m/>
    <n v="53.5"/>
    <n v="1"/>
  </r>
  <r>
    <s v="USR-101170"/>
    <d v="2025-04-21T00:00:00"/>
    <x v="1"/>
    <x v="1"/>
    <x v="1"/>
    <s v="Referral"/>
    <x v="1"/>
    <n v="1"/>
    <n v="0"/>
    <n v="0"/>
    <n v="0"/>
    <n v="0"/>
    <n v="0"/>
    <n v="0"/>
    <m/>
    <n v="54.8"/>
    <n v="1"/>
  </r>
  <r>
    <s v="USR-101171"/>
    <d v="2025-05-21T00:00:00"/>
    <x v="1"/>
    <x v="0"/>
    <x v="1"/>
    <s v="Organic"/>
    <x v="2"/>
    <n v="1"/>
    <n v="0"/>
    <n v="0"/>
    <n v="0"/>
    <n v="0"/>
    <n v="0"/>
    <n v="0"/>
    <m/>
    <n v="69.5"/>
    <n v="1"/>
  </r>
  <r>
    <s v="USR-101172"/>
    <d v="2025-04-25T00:00:00"/>
    <x v="1"/>
    <x v="0"/>
    <x v="0"/>
    <s v="Social"/>
    <x v="1"/>
    <n v="1"/>
    <n v="0"/>
    <n v="0"/>
    <n v="0"/>
    <n v="0"/>
    <n v="1"/>
    <n v="0"/>
    <m/>
    <n v="71.3"/>
    <n v="1"/>
  </r>
  <r>
    <s v="USR-101173"/>
    <d v="2025-05-23T00:00:00"/>
    <x v="1"/>
    <x v="1"/>
    <x v="1"/>
    <s v="Referral"/>
    <x v="0"/>
    <n v="1"/>
    <n v="0"/>
    <n v="0"/>
    <n v="0"/>
    <n v="0"/>
    <n v="1"/>
    <n v="0"/>
    <m/>
    <n v="57.5"/>
    <n v="1"/>
  </r>
  <r>
    <s v="USR-101174"/>
    <d v="2025-03-18T00:00:00"/>
    <x v="1"/>
    <x v="3"/>
    <x v="1"/>
    <s v="Email"/>
    <x v="1"/>
    <n v="1"/>
    <n v="0"/>
    <n v="0"/>
    <n v="0"/>
    <n v="0"/>
    <n v="4"/>
    <n v="0"/>
    <m/>
    <n v="50.9"/>
    <n v="1"/>
  </r>
  <r>
    <s v="USR-101175"/>
    <d v="2025-01-03T00:00:00"/>
    <x v="1"/>
    <x v="3"/>
    <x v="2"/>
    <s v="Organic"/>
    <x v="1"/>
    <n v="1"/>
    <n v="1"/>
    <n v="1"/>
    <n v="0"/>
    <n v="0"/>
    <n v="0"/>
    <n v="0"/>
    <m/>
    <n v="69.3"/>
    <n v="1"/>
  </r>
  <r>
    <s v="USR-101176"/>
    <d v="2025-02-08T00:00:00"/>
    <x v="1"/>
    <x v="1"/>
    <x v="0"/>
    <s v="Organic"/>
    <x v="1"/>
    <n v="1"/>
    <n v="0"/>
    <n v="0"/>
    <n v="0"/>
    <n v="0"/>
    <n v="0"/>
    <n v="0"/>
    <m/>
    <n v="50.1"/>
    <n v="1"/>
  </r>
  <r>
    <s v="USR-101177"/>
    <d v="2025-02-04T00:00:00"/>
    <x v="1"/>
    <x v="2"/>
    <x v="3"/>
    <s v="Paid Search"/>
    <x v="0"/>
    <n v="0"/>
    <n v="0"/>
    <n v="0"/>
    <n v="0"/>
    <n v="0"/>
    <n v="0"/>
    <n v="0"/>
    <m/>
    <n v="69.7"/>
    <n v="1"/>
  </r>
  <r>
    <s v="USR-101178"/>
    <d v="2025-01-16T00:00:00"/>
    <x v="1"/>
    <x v="0"/>
    <x v="1"/>
    <s v="Paid Search"/>
    <x v="1"/>
    <n v="0"/>
    <n v="0"/>
    <n v="0"/>
    <n v="0"/>
    <n v="0"/>
    <n v="0"/>
    <n v="0"/>
    <m/>
    <n v="63.5"/>
    <n v="1"/>
  </r>
  <r>
    <s v="USR-101179"/>
    <d v="2025-04-04T00:00:00"/>
    <x v="1"/>
    <x v="1"/>
    <x v="0"/>
    <s v="Paid Search"/>
    <x v="1"/>
    <n v="1"/>
    <n v="1"/>
    <n v="1"/>
    <n v="1"/>
    <n v="265.58999999999997"/>
    <n v="1"/>
    <n v="0"/>
    <n v="8"/>
    <n v="80.400000000000006"/>
    <n v="1"/>
  </r>
  <r>
    <s v="USR-101180"/>
    <d v="2025-01-23T00:00:00"/>
    <x v="1"/>
    <x v="0"/>
    <x v="0"/>
    <s v="Paid Search"/>
    <x v="1"/>
    <n v="0"/>
    <n v="0"/>
    <n v="0"/>
    <n v="0"/>
    <n v="0"/>
    <n v="0"/>
    <n v="0"/>
    <m/>
    <n v="58.9"/>
    <n v="1"/>
  </r>
  <r>
    <s v="USR-101181"/>
    <d v="2025-03-22T00:00:00"/>
    <x v="1"/>
    <x v="3"/>
    <x v="0"/>
    <s v="Paid Search"/>
    <x v="1"/>
    <n v="1"/>
    <n v="0"/>
    <n v="0"/>
    <n v="0"/>
    <n v="0"/>
    <n v="0"/>
    <n v="0"/>
    <m/>
    <n v="56.8"/>
    <n v="1"/>
  </r>
  <r>
    <s v="USR-101182"/>
    <d v="2025-02-02T00:00:00"/>
    <x v="1"/>
    <x v="2"/>
    <x v="2"/>
    <s v="Social"/>
    <x v="2"/>
    <n v="0"/>
    <n v="0"/>
    <n v="0"/>
    <n v="0"/>
    <n v="0"/>
    <n v="0"/>
    <n v="0"/>
    <m/>
    <n v="73.900000000000006"/>
    <n v="1"/>
  </r>
  <r>
    <s v="USR-101183"/>
    <d v="2025-01-31T00:00:00"/>
    <x v="1"/>
    <x v="0"/>
    <x v="0"/>
    <s v="Paid Search"/>
    <x v="1"/>
    <n v="0"/>
    <n v="0"/>
    <n v="0"/>
    <n v="0"/>
    <n v="0"/>
    <n v="0"/>
    <n v="0"/>
    <m/>
    <n v="76.3"/>
    <n v="1"/>
  </r>
  <r>
    <s v="USR-101184"/>
    <d v="2025-05-27T00:00:00"/>
    <x v="1"/>
    <x v="1"/>
    <x v="1"/>
    <s v="Organic"/>
    <x v="0"/>
    <n v="1"/>
    <n v="0"/>
    <n v="0"/>
    <n v="0"/>
    <n v="0"/>
    <n v="0"/>
    <n v="0"/>
    <m/>
    <n v="56.9"/>
    <n v="1"/>
  </r>
  <r>
    <s v="USR-101185"/>
    <d v="2025-05-07T00:00:00"/>
    <x v="1"/>
    <x v="0"/>
    <x v="1"/>
    <s v="Organic"/>
    <x v="2"/>
    <n v="1"/>
    <n v="0"/>
    <n v="0"/>
    <n v="0"/>
    <n v="0"/>
    <n v="2"/>
    <n v="0"/>
    <m/>
    <n v="49.4"/>
    <n v="1"/>
  </r>
  <r>
    <s v="USR-101186"/>
    <d v="2025-05-08T00:00:00"/>
    <x v="1"/>
    <x v="0"/>
    <x v="0"/>
    <s v="Paid Search"/>
    <x v="0"/>
    <n v="1"/>
    <n v="0"/>
    <n v="0"/>
    <n v="0"/>
    <n v="0"/>
    <n v="0"/>
    <n v="0"/>
    <m/>
    <n v="86.7"/>
    <n v="1"/>
  </r>
  <r>
    <s v="USR-101187"/>
    <d v="2025-01-15T00:00:00"/>
    <x v="1"/>
    <x v="1"/>
    <x v="0"/>
    <s v="Email"/>
    <x v="1"/>
    <n v="1"/>
    <n v="0"/>
    <n v="0"/>
    <n v="0"/>
    <n v="0"/>
    <n v="3"/>
    <n v="0"/>
    <m/>
    <n v="69"/>
    <n v="1"/>
  </r>
  <r>
    <s v="USR-101188"/>
    <d v="2025-01-18T00:00:00"/>
    <x v="1"/>
    <x v="0"/>
    <x v="1"/>
    <s v="Paid Search"/>
    <x v="1"/>
    <n v="0"/>
    <n v="0"/>
    <n v="0"/>
    <n v="0"/>
    <n v="0"/>
    <n v="0"/>
    <n v="0"/>
    <m/>
    <n v="84.5"/>
    <n v="1"/>
  </r>
  <r>
    <s v="USR-101189"/>
    <d v="2025-04-16T00:00:00"/>
    <x v="1"/>
    <x v="2"/>
    <x v="3"/>
    <s v="Referral"/>
    <x v="1"/>
    <n v="1"/>
    <n v="0"/>
    <n v="0"/>
    <n v="0"/>
    <n v="0"/>
    <n v="0"/>
    <n v="0"/>
    <m/>
    <n v="66.3"/>
    <n v="1"/>
  </r>
  <r>
    <s v="USR-101190"/>
    <d v="2025-02-16T00:00:00"/>
    <x v="1"/>
    <x v="2"/>
    <x v="0"/>
    <s v="Paid Search"/>
    <x v="1"/>
    <n v="0"/>
    <n v="0"/>
    <n v="0"/>
    <n v="0"/>
    <n v="0"/>
    <n v="0"/>
    <n v="0"/>
    <m/>
    <n v="52.2"/>
    <n v="1"/>
  </r>
  <r>
    <s v="USR-101191"/>
    <d v="2025-04-17T00:00:00"/>
    <x v="1"/>
    <x v="3"/>
    <x v="0"/>
    <s v="Referral"/>
    <x v="2"/>
    <n v="1"/>
    <n v="1"/>
    <n v="1"/>
    <n v="0"/>
    <n v="0"/>
    <n v="0"/>
    <n v="0"/>
    <m/>
    <n v="81.2"/>
    <n v="1"/>
  </r>
  <r>
    <s v="USR-101192"/>
    <d v="2025-04-30T00:00:00"/>
    <x v="1"/>
    <x v="3"/>
    <x v="1"/>
    <s v="Organic"/>
    <x v="0"/>
    <n v="0"/>
    <n v="0"/>
    <n v="0"/>
    <n v="0"/>
    <n v="0"/>
    <n v="0"/>
    <n v="0"/>
    <m/>
    <n v="53.9"/>
    <n v="1"/>
  </r>
  <r>
    <s v="USR-101193"/>
    <d v="2025-01-29T00:00:00"/>
    <x v="1"/>
    <x v="1"/>
    <x v="1"/>
    <s v="Social"/>
    <x v="2"/>
    <n v="0"/>
    <n v="0"/>
    <n v="0"/>
    <n v="0"/>
    <n v="0"/>
    <n v="0"/>
    <n v="0"/>
    <m/>
    <n v="39.1"/>
    <n v="1"/>
  </r>
  <r>
    <s v="USR-101194"/>
    <d v="2025-01-11T00:00:00"/>
    <x v="1"/>
    <x v="0"/>
    <x v="1"/>
    <s v="Social"/>
    <x v="0"/>
    <n v="0"/>
    <n v="0"/>
    <n v="0"/>
    <n v="0"/>
    <n v="0"/>
    <n v="0"/>
    <n v="0"/>
    <m/>
    <n v="57.3"/>
    <n v="1"/>
  </r>
  <r>
    <s v="USR-101195"/>
    <d v="2025-04-08T00:00:00"/>
    <x v="1"/>
    <x v="2"/>
    <x v="0"/>
    <s v="Paid Search"/>
    <x v="2"/>
    <n v="1"/>
    <n v="0"/>
    <n v="0"/>
    <n v="0"/>
    <n v="0"/>
    <n v="1"/>
    <n v="0"/>
    <m/>
    <n v="65.900000000000006"/>
    <n v="1"/>
  </r>
  <r>
    <s v="USR-101196"/>
    <d v="2025-02-22T00:00:00"/>
    <x v="1"/>
    <x v="0"/>
    <x v="3"/>
    <s v="Social"/>
    <x v="1"/>
    <n v="1"/>
    <n v="0"/>
    <n v="0"/>
    <n v="0"/>
    <n v="0"/>
    <n v="1"/>
    <n v="0"/>
    <m/>
    <n v="34.200000000000003"/>
    <n v="1"/>
  </r>
  <r>
    <s v="USR-101197"/>
    <d v="2025-03-23T00:00:00"/>
    <x v="1"/>
    <x v="3"/>
    <x v="1"/>
    <s v="Organic"/>
    <x v="1"/>
    <n v="0"/>
    <n v="0"/>
    <n v="0"/>
    <n v="0"/>
    <n v="0"/>
    <n v="0"/>
    <n v="0"/>
    <m/>
    <n v="47.2"/>
    <n v="1"/>
  </r>
  <r>
    <s v="USR-101198"/>
    <d v="2025-05-23T00:00:00"/>
    <x v="1"/>
    <x v="3"/>
    <x v="2"/>
    <s v="Paid Search"/>
    <x v="1"/>
    <n v="1"/>
    <n v="0"/>
    <n v="0"/>
    <n v="0"/>
    <n v="0"/>
    <n v="1"/>
    <n v="0"/>
    <m/>
    <n v="55"/>
    <n v="1"/>
  </r>
  <r>
    <s v="USR-101199"/>
    <d v="2025-04-27T00:00:00"/>
    <x v="1"/>
    <x v="1"/>
    <x v="1"/>
    <s v="Referral"/>
    <x v="0"/>
    <n v="1"/>
    <n v="1"/>
    <n v="1"/>
    <n v="0"/>
    <n v="0"/>
    <n v="0"/>
    <n v="0"/>
    <m/>
    <n v="76.400000000000006"/>
    <n v="1"/>
  </r>
  <r>
    <s v="USR-101200"/>
    <d v="2025-05-26T00:00:00"/>
    <x v="1"/>
    <x v="0"/>
    <x v="1"/>
    <s v="Referral"/>
    <x v="1"/>
    <n v="1"/>
    <n v="0"/>
    <n v="0"/>
    <n v="0"/>
    <n v="0"/>
    <n v="0"/>
    <n v="0"/>
    <m/>
    <n v="70.8"/>
    <n v="1"/>
  </r>
  <r>
    <s v="USR-101201"/>
    <d v="2025-03-06T00:00:00"/>
    <x v="1"/>
    <x v="2"/>
    <x v="1"/>
    <s v="Paid Search"/>
    <x v="0"/>
    <n v="1"/>
    <n v="1"/>
    <n v="0"/>
    <n v="0"/>
    <n v="0"/>
    <n v="1"/>
    <n v="0"/>
    <m/>
    <n v="58"/>
    <n v="1"/>
  </r>
  <r>
    <s v="USR-101202"/>
    <d v="2025-04-03T00:00:00"/>
    <x v="1"/>
    <x v="1"/>
    <x v="1"/>
    <s v="Organic"/>
    <x v="0"/>
    <n v="1"/>
    <n v="1"/>
    <n v="1"/>
    <n v="0"/>
    <n v="0"/>
    <n v="1"/>
    <n v="0"/>
    <m/>
    <n v="70.8"/>
    <n v="1"/>
  </r>
  <r>
    <s v="USR-101203"/>
    <d v="2025-02-01T00:00:00"/>
    <x v="1"/>
    <x v="2"/>
    <x v="0"/>
    <s v="Paid Search"/>
    <x v="1"/>
    <n v="1"/>
    <n v="0"/>
    <n v="0"/>
    <n v="0"/>
    <n v="0"/>
    <n v="3"/>
    <n v="0"/>
    <m/>
    <n v="60"/>
    <n v="1"/>
  </r>
  <r>
    <s v="USR-101204"/>
    <d v="2025-05-01T00:00:00"/>
    <x v="1"/>
    <x v="1"/>
    <x v="1"/>
    <s v="Referral"/>
    <x v="2"/>
    <n v="1"/>
    <n v="1"/>
    <n v="1"/>
    <n v="0"/>
    <n v="0"/>
    <n v="3"/>
    <n v="0"/>
    <m/>
    <n v="58.1"/>
    <n v="1"/>
  </r>
  <r>
    <s v="USR-101205"/>
    <d v="2025-04-13T00:00:00"/>
    <x v="1"/>
    <x v="0"/>
    <x v="1"/>
    <s v="Social"/>
    <x v="2"/>
    <n v="0"/>
    <n v="0"/>
    <n v="0"/>
    <n v="0"/>
    <n v="0"/>
    <n v="0"/>
    <n v="0"/>
    <m/>
    <n v="59.7"/>
    <n v="1"/>
  </r>
  <r>
    <s v="USR-101206"/>
    <d v="2025-01-25T00:00:00"/>
    <x v="1"/>
    <x v="2"/>
    <x v="1"/>
    <s v="Social"/>
    <x v="1"/>
    <n v="0"/>
    <n v="0"/>
    <n v="0"/>
    <n v="0"/>
    <n v="0"/>
    <n v="0"/>
    <n v="0"/>
    <m/>
    <n v="47.7"/>
    <n v="1"/>
  </r>
  <r>
    <s v="USR-101207"/>
    <d v="2025-03-17T00:00:00"/>
    <x v="1"/>
    <x v="0"/>
    <x v="1"/>
    <s v="Organic"/>
    <x v="1"/>
    <n v="0"/>
    <n v="0"/>
    <n v="0"/>
    <n v="0"/>
    <n v="0"/>
    <n v="0"/>
    <n v="0"/>
    <m/>
    <n v="59.1"/>
    <n v="1"/>
  </r>
  <r>
    <s v="USR-101208"/>
    <d v="2025-02-21T00:00:00"/>
    <x v="1"/>
    <x v="1"/>
    <x v="0"/>
    <s v="Social"/>
    <x v="0"/>
    <n v="1"/>
    <n v="0"/>
    <n v="0"/>
    <n v="0"/>
    <n v="0"/>
    <n v="1"/>
    <n v="0"/>
    <m/>
    <n v="68.7"/>
    <n v="1"/>
  </r>
  <r>
    <s v="USR-101209"/>
    <d v="2025-04-08T00:00:00"/>
    <x v="1"/>
    <x v="2"/>
    <x v="2"/>
    <s v="Organic"/>
    <x v="0"/>
    <n v="0"/>
    <n v="0"/>
    <n v="0"/>
    <n v="0"/>
    <n v="0"/>
    <n v="0"/>
    <n v="0"/>
    <m/>
    <n v="34.700000000000003"/>
    <n v="1"/>
  </r>
  <r>
    <s v="USR-101210"/>
    <d v="2025-02-24T00:00:00"/>
    <x v="1"/>
    <x v="1"/>
    <x v="1"/>
    <s v="Organic"/>
    <x v="0"/>
    <n v="1"/>
    <n v="0"/>
    <n v="0"/>
    <n v="0"/>
    <n v="0"/>
    <n v="0"/>
    <n v="0"/>
    <m/>
    <n v="62"/>
    <n v="2"/>
  </r>
  <r>
    <s v="USR-101211"/>
    <d v="2025-05-29T00:00:00"/>
    <x v="1"/>
    <x v="3"/>
    <x v="1"/>
    <s v="Organic"/>
    <x v="1"/>
    <n v="1"/>
    <n v="1"/>
    <n v="0"/>
    <n v="0"/>
    <n v="0"/>
    <n v="0"/>
    <n v="0"/>
    <m/>
    <n v="56"/>
    <n v="1"/>
  </r>
  <r>
    <s v="USR-101212"/>
    <d v="2025-05-30T00:00:00"/>
    <x v="1"/>
    <x v="0"/>
    <x v="1"/>
    <s v="Email"/>
    <x v="0"/>
    <n v="1"/>
    <n v="0"/>
    <n v="0"/>
    <n v="0"/>
    <n v="0"/>
    <n v="1"/>
    <n v="0"/>
    <m/>
    <n v="65.8"/>
    <n v="1"/>
  </r>
  <r>
    <s v="USR-101213"/>
    <d v="2025-01-24T00:00:00"/>
    <x v="1"/>
    <x v="0"/>
    <x v="0"/>
    <s v="Organic"/>
    <x v="2"/>
    <n v="0"/>
    <n v="0"/>
    <n v="0"/>
    <n v="0"/>
    <n v="0"/>
    <n v="0"/>
    <n v="0"/>
    <m/>
    <n v="54.7"/>
    <n v="1"/>
  </r>
  <r>
    <s v="USR-101214"/>
    <d v="2025-05-12T00:00:00"/>
    <x v="1"/>
    <x v="3"/>
    <x v="1"/>
    <s v="Organic"/>
    <x v="0"/>
    <n v="1"/>
    <n v="1"/>
    <n v="0"/>
    <n v="0"/>
    <n v="0"/>
    <n v="0"/>
    <n v="0"/>
    <m/>
    <n v="64.099999999999994"/>
    <n v="1"/>
  </r>
  <r>
    <s v="USR-101215"/>
    <d v="2025-03-28T00:00:00"/>
    <x v="1"/>
    <x v="3"/>
    <x v="1"/>
    <s v="Organic"/>
    <x v="0"/>
    <n v="1"/>
    <n v="1"/>
    <n v="1"/>
    <n v="0"/>
    <n v="0"/>
    <n v="0"/>
    <n v="0"/>
    <m/>
    <n v="71.599999999999994"/>
    <n v="1"/>
  </r>
  <r>
    <s v="USR-101216"/>
    <d v="2025-04-14T00:00:00"/>
    <x v="1"/>
    <x v="0"/>
    <x v="1"/>
    <s v="Referral"/>
    <x v="0"/>
    <n v="1"/>
    <n v="0"/>
    <n v="0"/>
    <n v="0"/>
    <n v="0"/>
    <n v="0"/>
    <n v="0"/>
    <m/>
    <n v="78.400000000000006"/>
    <n v="1"/>
  </r>
  <r>
    <s v="USR-101217"/>
    <d v="2025-01-28T00:00:00"/>
    <x v="1"/>
    <x v="2"/>
    <x v="2"/>
    <s v="Referral"/>
    <x v="0"/>
    <n v="0"/>
    <n v="0"/>
    <n v="0"/>
    <n v="0"/>
    <n v="0"/>
    <n v="0"/>
    <n v="0"/>
    <m/>
    <n v="49.3"/>
    <n v="1"/>
  </r>
  <r>
    <s v="USR-101218"/>
    <d v="2025-05-21T00:00:00"/>
    <x v="1"/>
    <x v="0"/>
    <x v="1"/>
    <s v="Organic"/>
    <x v="0"/>
    <n v="0"/>
    <n v="0"/>
    <n v="0"/>
    <n v="0"/>
    <n v="0"/>
    <n v="0"/>
    <n v="0"/>
    <m/>
    <n v="52.8"/>
    <n v="1"/>
  </r>
  <r>
    <s v="USR-101219"/>
    <d v="2025-05-11T00:00:00"/>
    <x v="1"/>
    <x v="1"/>
    <x v="0"/>
    <s v="Organic"/>
    <x v="1"/>
    <n v="0"/>
    <n v="0"/>
    <n v="0"/>
    <n v="0"/>
    <n v="0"/>
    <n v="0"/>
    <n v="0"/>
    <m/>
    <n v="58.5"/>
    <n v="1"/>
  </r>
  <r>
    <s v="USR-101220"/>
    <d v="2025-02-02T00:00:00"/>
    <x v="1"/>
    <x v="3"/>
    <x v="1"/>
    <s v="Paid Search"/>
    <x v="1"/>
    <n v="1"/>
    <n v="0"/>
    <n v="0"/>
    <n v="0"/>
    <n v="0"/>
    <n v="0"/>
    <n v="0"/>
    <m/>
    <n v="55.9"/>
    <n v="1"/>
  </r>
  <r>
    <s v="USR-101221"/>
    <d v="2025-02-26T00:00:00"/>
    <x v="1"/>
    <x v="0"/>
    <x v="1"/>
    <s v="Social"/>
    <x v="1"/>
    <n v="1"/>
    <n v="1"/>
    <n v="1"/>
    <n v="1"/>
    <n v="351.43"/>
    <n v="1"/>
    <n v="0"/>
    <n v="6"/>
    <n v="74.900000000000006"/>
    <n v="1"/>
  </r>
  <r>
    <s v="USR-101222"/>
    <d v="2025-02-27T00:00:00"/>
    <x v="1"/>
    <x v="3"/>
    <x v="0"/>
    <s v="Referral"/>
    <x v="1"/>
    <n v="1"/>
    <n v="1"/>
    <n v="1"/>
    <n v="1"/>
    <n v="352.42"/>
    <n v="0"/>
    <n v="0"/>
    <n v="4"/>
    <n v="58.5"/>
    <n v="1"/>
  </r>
  <r>
    <s v="USR-101223"/>
    <d v="2025-03-09T00:00:00"/>
    <x v="1"/>
    <x v="1"/>
    <x v="1"/>
    <s v="Organic"/>
    <x v="1"/>
    <n v="0"/>
    <n v="0"/>
    <n v="0"/>
    <n v="0"/>
    <n v="0"/>
    <n v="0"/>
    <n v="0"/>
    <m/>
    <n v="63.5"/>
    <n v="1"/>
  </r>
  <r>
    <s v="USR-101224"/>
    <d v="2025-02-07T00:00:00"/>
    <x v="1"/>
    <x v="0"/>
    <x v="1"/>
    <s v="Paid Search"/>
    <x v="0"/>
    <n v="1"/>
    <n v="0"/>
    <n v="0"/>
    <n v="0"/>
    <n v="0"/>
    <n v="1"/>
    <n v="0"/>
    <m/>
    <n v="64.8"/>
    <n v="1"/>
  </r>
  <r>
    <s v="USR-101225"/>
    <d v="2025-01-31T00:00:00"/>
    <x v="1"/>
    <x v="1"/>
    <x v="1"/>
    <s v="Social"/>
    <x v="1"/>
    <n v="0"/>
    <n v="0"/>
    <n v="0"/>
    <n v="0"/>
    <n v="0"/>
    <n v="0"/>
    <n v="0"/>
    <m/>
    <n v="63.3"/>
    <n v="1"/>
  </r>
  <r>
    <s v="USR-101226"/>
    <d v="2025-02-14T00:00:00"/>
    <x v="1"/>
    <x v="0"/>
    <x v="2"/>
    <s v="Paid Search"/>
    <x v="0"/>
    <n v="1"/>
    <n v="1"/>
    <n v="1"/>
    <n v="1"/>
    <n v="1074.1600000000001"/>
    <n v="0"/>
    <n v="0"/>
    <n v="8"/>
    <n v="83.7"/>
    <n v="1"/>
  </r>
  <r>
    <s v="USR-101227"/>
    <d v="2025-02-12T00:00:00"/>
    <x v="1"/>
    <x v="3"/>
    <x v="0"/>
    <s v="Social"/>
    <x v="0"/>
    <n v="0"/>
    <n v="0"/>
    <n v="0"/>
    <n v="0"/>
    <n v="0"/>
    <n v="0"/>
    <n v="0"/>
    <m/>
    <n v="88.7"/>
    <n v="1"/>
  </r>
  <r>
    <s v="USR-101228"/>
    <d v="2025-03-23T00:00:00"/>
    <x v="1"/>
    <x v="2"/>
    <x v="3"/>
    <s v="Paid Search"/>
    <x v="1"/>
    <n v="1"/>
    <n v="0"/>
    <n v="0"/>
    <n v="0"/>
    <n v="0"/>
    <n v="1"/>
    <n v="0"/>
    <m/>
    <n v="61.5"/>
    <n v="1"/>
  </r>
  <r>
    <s v="USR-101229"/>
    <d v="2025-03-18T00:00:00"/>
    <x v="1"/>
    <x v="1"/>
    <x v="1"/>
    <s v="Paid Search"/>
    <x v="1"/>
    <n v="0"/>
    <n v="0"/>
    <n v="0"/>
    <n v="0"/>
    <n v="0"/>
    <n v="0"/>
    <n v="0"/>
    <m/>
    <n v="45.3"/>
    <n v="1"/>
  </r>
  <r>
    <s v="USR-101230"/>
    <d v="2025-05-17T00:00:00"/>
    <x v="1"/>
    <x v="0"/>
    <x v="1"/>
    <s v="Social"/>
    <x v="1"/>
    <n v="1"/>
    <n v="0"/>
    <n v="0"/>
    <n v="0"/>
    <n v="0"/>
    <n v="0"/>
    <n v="0"/>
    <m/>
    <n v="37.299999999999997"/>
    <n v="1"/>
  </r>
  <r>
    <s v="USR-101231"/>
    <d v="2025-03-26T00:00:00"/>
    <x v="1"/>
    <x v="1"/>
    <x v="0"/>
    <s v="Social"/>
    <x v="2"/>
    <n v="1"/>
    <n v="0"/>
    <n v="0"/>
    <n v="0"/>
    <n v="0"/>
    <n v="1"/>
    <n v="0"/>
    <m/>
    <n v="76.099999999999994"/>
    <n v="1"/>
  </r>
  <r>
    <s v="USR-101232"/>
    <d v="2025-03-30T00:00:00"/>
    <x v="1"/>
    <x v="2"/>
    <x v="1"/>
    <s v="Organic"/>
    <x v="1"/>
    <n v="1"/>
    <n v="1"/>
    <n v="1"/>
    <n v="0"/>
    <n v="0"/>
    <n v="1"/>
    <n v="0"/>
    <m/>
    <n v="72.5"/>
    <n v="2"/>
  </r>
  <r>
    <s v="USR-101233"/>
    <d v="2025-02-25T00:00:00"/>
    <x v="1"/>
    <x v="2"/>
    <x v="0"/>
    <s v="Organic"/>
    <x v="1"/>
    <n v="1"/>
    <n v="0"/>
    <n v="0"/>
    <n v="0"/>
    <n v="0"/>
    <n v="0"/>
    <n v="0"/>
    <m/>
    <n v="62.3"/>
    <n v="1"/>
  </r>
  <r>
    <s v="USR-101234"/>
    <d v="2025-03-01T00:00:00"/>
    <x v="1"/>
    <x v="2"/>
    <x v="0"/>
    <s v="Social"/>
    <x v="1"/>
    <n v="0"/>
    <n v="0"/>
    <n v="0"/>
    <n v="0"/>
    <n v="0"/>
    <n v="0"/>
    <n v="0"/>
    <m/>
    <n v="62.7"/>
    <n v="1"/>
  </r>
  <r>
    <s v="USR-101235"/>
    <d v="2025-05-27T00:00:00"/>
    <x v="1"/>
    <x v="0"/>
    <x v="1"/>
    <s v="Paid Search"/>
    <x v="0"/>
    <n v="0"/>
    <n v="0"/>
    <n v="0"/>
    <n v="0"/>
    <n v="0"/>
    <n v="0"/>
    <n v="0"/>
    <m/>
    <n v="82.4"/>
    <n v="1"/>
  </r>
  <r>
    <s v="USR-101236"/>
    <d v="2025-02-05T00:00:00"/>
    <x v="1"/>
    <x v="1"/>
    <x v="1"/>
    <m/>
    <x v="2"/>
    <n v="1"/>
    <n v="0"/>
    <n v="0"/>
    <n v="0"/>
    <n v="0"/>
    <n v="0"/>
    <n v="0"/>
    <m/>
    <n v="78.900000000000006"/>
    <n v="1"/>
  </r>
  <r>
    <s v="USR-101237"/>
    <d v="2025-01-25T00:00:00"/>
    <x v="1"/>
    <x v="1"/>
    <x v="0"/>
    <s v="Email"/>
    <x v="1"/>
    <n v="1"/>
    <n v="1"/>
    <n v="1"/>
    <n v="1"/>
    <n v="618.91"/>
    <n v="0"/>
    <n v="0"/>
    <n v="4"/>
    <n v="67.8"/>
    <n v="1"/>
  </r>
  <r>
    <s v="USR-101238"/>
    <d v="2025-04-10T00:00:00"/>
    <x v="1"/>
    <x v="2"/>
    <x v="1"/>
    <s v="Organic"/>
    <x v="2"/>
    <n v="1"/>
    <n v="0"/>
    <n v="0"/>
    <n v="0"/>
    <n v="0"/>
    <n v="0"/>
    <n v="0"/>
    <m/>
    <n v="68.8"/>
    <n v="1"/>
  </r>
  <r>
    <s v="USR-101239"/>
    <d v="2025-01-10T00:00:00"/>
    <x v="1"/>
    <x v="2"/>
    <x v="1"/>
    <s v="Organic"/>
    <x v="2"/>
    <n v="1"/>
    <n v="0"/>
    <n v="0"/>
    <n v="0"/>
    <n v="0"/>
    <n v="0"/>
    <n v="0"/>
    <m/>
    <n v="67.7"/>
    <n v="1"/>
  </r>
  <r>
    <s v="USR-101240"/>
    <d v="2025-02-23T00:00:00"/>
    <x v="1"/>
    <x v="2"/>
    <x v="1"/>
    <m/>
    <x v="1"/>
    <n v="0"/>
    <n v="0"/>
    <n v="0"/>
    <n v="0"/>
    <n v="0"/>
    <n v="0"/>
    <n v="0"/>
    <m/>
    <n v="88"/>
    <n v="1"/>
  </r>
  <r>
    <s v="USR-101241"/>
    <d v="2025-05-23T00:00:00"/>
    <x v="1"/>
    <x v="1"/>
    <x v="0"/>
    <s v="Organic"/>
    <x v="0"/>
    <n v="1"/>
    <n v="1"/>
    <n v="0"/>
    <n v="0"/>
    <n v="0"/>
    <n v="0"/>
    <n v="0"/>
    <m/>
    <n v="80.099999999999994"/>
    <n v="1"/>
  </r>
  <r>
    <s v="USR-101242"/>
    <d v="2025-03-08T00:00:00"/>
    <x v="1"/>
    <x v="0"/>
    <x v="2"/>
    <s v="Email"/>
    <x v="0"/>
    <n v="0"/>
    <n v="0"/>
    <n v="0"/>
    <n v="0"/>
    <n v="0"/>
    <n v="1"/>
    <n v="0"/>
    <m/>
    <n v="48.2"/>
    <n v="1"/>
  </r>
  <r>
    <s v="USR-101243"/>
    <d v="2025-05-21T00:00:00"/>
    <x v="1"/>
    <x v="2"/>
    <x v="1"/>
    <s v="Organic"/>
    <x v="0"/>
    <n v="1"/>
    <n v="0"/>
    <n v="0"/>
    <n v="0"/>
    <n v="0"/>
    <n v="0"/>
    <n v="0"/>
    <m/>
    <n v="52.7"/>
    <n v="1"/>
  </r>
  <r>
    <s v="USR-101244"/>
    <d v="2025-04-22T00:00:00"/>
    <x v="1"/>
    <x v="0"/>
    <x v="1"/>
    <s v="Email"/>
    <x v="0"/>
    <n v="1"/>
    <n v="1"/>
    <n v="0"/>
    <n v="0"/>
    <n v="0"/>
    <n v="0"/>
    <n v="0"/>
    <m/>
    <n v="59.9"/>
    <n v="1"/>
  </r>
  <r>
    <s v="USR-101245"/>
    <d v="2025-04-16T00:00:00"/>
    <x v="1"/>
    <x v="0"/>
    <x v="1"/>
    <s v="Email"/>
    <x v="2"/>
    <n v="1"/>
    <n v="0"/>
    <n v="0"/>
    <n v="0"/>
    <n v="0"/>
    <n v="0"/>
    <n v="0"/>
    <m/>
    <n v="49.5"/>
    <n v="1"/>
  </r>
  <r>
    <s v="USR-101246"/>
    <d v="2025-05-08T00:00:00"/>
    <x v="1"/>
    <x v="0"/>
    <x v="2"/>
    <s v="Organic"/>
    <x v="1"/>
    <n v="1"/>
    <n v="0"/>
    <n v="0"/>
    <n v="0"/>
    <n v="0"/>
    <n v="0"/>
    <n v="0"/>
    <m/>
    <n v="41.5"/>
    <n v="1"/>
  </r>
  <r>
    <s v="USR-101247"/>
    <d v="2025-05-22T00:00:00"/>
    <x v="1"/>
    <x v="0"/>
    <x v="1"/>
    <s v="Paid Search"/>
    <x v="0"/>
    <n v="1"/>
    <n v="0"/>
    <n v="0"/>
    <n v="0"/>
    <n v="0"/>
    <n v="0"/>
    <n v="0"/>
    <m/>
    <n v="71.2"/>
    <n v="1"/>
  </r>
  <r>
    <s v="USR-101248"/>
    <d v="2025-03-21T00:00:00"/>
    <x v="1"/>
    <x v="0"/>
    <x v="1"/>
    <s v="Referral"/>
    <x v="0"/>
    <n v="1"/>
    <n v="1"/>
    <n v="1"/>
    <n v="0"/>
    <n v="0"/>
    <n v="0"/>
    <n v="0"/>
    <m/>
    <n v="65.8"/>
    <n v="1"/>
  </r>
  <r>
    <s v="USR-101249"/>
    <d v="2025-03-22T00:00:00"/>
    <x v="1"/>
    <x v="2"/>
    <x v="1"/>
    <s v="Organic"/>
    <x v="0"/>
    <n v="1"/>
    <n v="0"/>
    <n v="0"/>
    <n v="0"/>
    <n v="0"/>
    <n v="1"/>
    <n v="0"/>
    <m/>
    <n v="55.1"/>
    <n v="1"/>
  </r>
  <r>
    <s v="USR-101250"/>
    <d v="2025-01-10T00:00:00"/>
    <x v="1"/>
    <x v="1"/>
    <x v="0"/>
    <s v="Social"/>
    <x v="1"/>
    <n v="1"/>
    <n v="0"/>
    <n v="0"/>
    <n v="0"/>
    <n v="0"/>
    <n v="0"/>
    <n v="0"/>
    <m/>
    <n v="54.6"/>
    <n v="1"/>
  </r>
  <r>
    <s v="USR-101251"/>
    <d v="2025-02-01T00:00:00"/>
    <x v="1"/>
    <x v="2"/>
    <x v="1"/>
    <s v="Organic"/>
    <x v="0"/>
    <n v="1"/>
    <n v="1"/>
    <n v="1"/>
    <n v="1"/>
    <n v="923.67"/>
    <n v="0"/>
    <n v="0"/>
    <n v="4"/>
    <n v="81.900000000000006"/>
    <n v="1"/>
  </r>
  <r>
    <s v="USR-101252"/>
    <d v="2025-03-31T00:00:00"/>
    <x v="1"/>
    <x v="3"/>
    <x v="1"/>
    <s v="Paid Search"/>
    <x v="0"/>
    <n v="1"/>
    <n v="1"/>
    <n v="0"/>
    <n v="0"/>
    <n v="0"/>
    <n v="3"/>
    <n v="0"/>
    <m/>
    <n v="63.2"/>
    <n v="1"/>
  </r>
  <r>
    <s v="USR-101253"/>
    <d v="2025-04-25T00:00:00"/>
    <x v="1"/>
    <x v="0"/>
    <x v="1"/>
    <s v="Paid Search"/>
    <x v="1"/>
    <n v="1"/>
    <n v="0"/>
    <n v="0"/>
    <n v="0"/>
    <n v="0"/>
    <n v="0"/>
    <n v="0"/>
    <m/>
    <n v="55.4"/>
    <n v="1"/>
  </r>
  <r>
    <s v="USR-101254"/>
    <d v="2025-05-02T00:00:00"/>
    <x v="1"/>
    <x v="1"/>
    <x v="1"/>
    <s v="Social"/>
    <x v="0"/>
    <n v="0"/>
    <n v="0"/>
    <n v="0"/>
    <n v="0"/>
    <n v="0"/>
    <n v="0"/>
    <n v="0"/>
    <m/>
    <n v="87.5"/>
    <n v="1"/>
  </r>
  <r>
    <s v="USR-101255"/>
    <d v="2025-03-08T00:00:00"/>
    <x v="1"/>
    <x v="3"/>
    <x v="0"/>
    <s v="Social"/>
    <x v="0"/>
    <n v="1"/>
    <n v="0"/>
    <n v="0"/>
    <n v="0"/>
    <n v="0"/>
    <n v="0"/>
    <n v="0"/>
    <m/>
    <n v="48.5"/>
    <n v="1"/>
  </r>
  <r>
    <s v="USR-101256"/>
    <d v="2025-01-27T00:00:00"/>
    <x v="1"/>
    <x v="2"/>
    <x v="0"/>
    <m/>
    <x v="1"/>
    <n v="1"/>
    <n v="1"/>
    <n v="1"/>
    <n v="1"/>
    <n v="420.27"/>
    <n v="0"/>
    <n v="0"/>
    <n v="6"/>
    <n v="58.4"/>
    <n v="1"/>
  </r>
  <r>
    <s v="USR-101257"/>
    <d v="2025-04-27T00:00:00"/>
    <x v="1"/>
    <x v="1"/>
    <x v="1"/>
    <s v="Paid Search"/>
    <x v="1"/>
    <n v="0"/>
    <n v="0"/>
    <n v="0"/>
    <n v="0"/>
    <n v="0"/>
    <n v="0"/>
    <n v="0"/>
    <m/>
    <n v="59.5"/>
    <n v="1"/>
  </r>
  <r>
    <s v="USR-101258"/>
    <d v="2025-01-16T00:00:00"/>
    <x v="1"/>
    <x v="1"/>
    <x v="0"/>
    <s v="Paid Search"/>
    <x v="0"/>
    <n v="1"/>
    <n v="0"/>
    <n v="0"/>
    <n v="0"/>
    <n v="0"/>
    <n v="0"/>
    <n v="0"/>
    <m/>
    <n v="93.2"/>
    <n v="1"/>
  </r>
  <r>
    <s v="USR-101259"/>
    <d v="2025-01-18T00:00:00"/>
    <x v="1"/>
    <x v="1"/>
    <x v="0"/>
    <s v="Paid Search"/>
    <x v="0"/>
    <n v="1"/>
    <n v="0"/>
    <n v="0"/>
    <n v="0"/>
    <n v="0"/>
    <n v="0"/>
    <n v="0"/>
    <m/>
    <n v="59"/>
    <n v="1"/>
  </r>
  <r>
    <s v="USR-101260"/>
    <d v="2025-03-21T00:00:00"/>
    <x v="1"/>
    <x v="0"/>
    <x v="1"/>
    <s v="Organic"/>
    <x v="1"/>
    <n v="1"/>
    <n v="0"/>
    <n v="0"/>
    <n v="0"/>
    <n v="0"/>
    <n v="0"/>
    <n v="0"/>
    <m/>
    <n v="37"/>
    <n v="1"/>
  </r>
  <r>
    <s v="USR-101261"/>
    <d v="2025-04-02T00:00:00"/>
    <x v="1"/>
    <x v="0"/>
    <x v="0"/>
    <s v="Paid Search"/>
    <x v="1"/>
    <n v="1"/>
    <n v="0"/>
    <n v="0"/>
    <n v="0"/>
    <n v="0"/>
    <n v="0"/>
    <n v="0"/>
    <m/>
    <n v="47.5"/>
    <n v="1"/>
  </r>
  <r>
    <s v="USR-101262"/>
    <d v="2025-02-16T00:00:00"/>
    <x v="1"/>
    <x v="1"/>
    <x v="0"/>
    <s v="Organic"/>
    <x v="1"/>
    <n v="1"/>
    <n v="1"/>
    <n v="1"/>
    <n v="0"/>
    <n v="0"/>
    <n v="0"/>
    <n v="0"/>
    <m/>
    <n v="78.7"/>
    <n v="1"/>
  </r>
  <r>
    <s v="USR-101263"/>
    <d v="2025-02-18T00:00:00"/>
    <x v="1"/>
    <x v="0"/>
    <x v="1"/>
    <s v="Social"/>
    <x v="1"/>
    <n v="1"/>
    <n v="0"/>
    <n v="0"/>
    <n v="0"/>
    <n v="0"/>
    <n v="0"/>
    <n v="0"/>
    <m/>
    <n v="49.6"/>
    <n v="1"/>
  </r>
  <r>
    <s v="USR-101264"/>
    <d v="2025-01-09T00:00:00"/>
    <x v="1"/>
    <x v="2"/>
    <x v="1"/>
    <s v="Organic"/>
    <x v="1"/>
    <n v="1"/>
    <n v="0"/>
    <n v="0"/>
    <n v="0"/>
    <n v="0"/>
    <n v="0"/>
    <n v="0"/>
    <m/>
    <n v="58"/>
    <n v="1"/>
  </r>
  <r>
    <s v="USR-101265"/>
    <d v="2025-02-18T00:00:00"/>
    <x v="1"/>
    <x v="0"/>
    <x v="0"/>
    <s v="Paid Search"/>
    <x v="1"/>
    <n v="1"/>
    <n v="0"/>
    <n v="0"/>
    <n v="0"/>
    <n v="0"/>
    <n v="1"/>
    <n v="0"/>
    <m/>
    <n v="54.4"/>
    <n v="1"/>
  </r>
  <r>
    <s v="USR-101266"/>
    <d v="2025-01-10T00:00:00"/>
    <x v="1"/>
    <x v="2"/>
    <x v="1"/>
    <s v="Referral"/>
    <x v="1"/>
    <n v="0"/>
    <n v="0"/>
    <n v="0"/>
    <n v="0"/>
    <n v="0"/>
    <n v="0"/>
    <n v="0"/>
    <m/>
    <n v="33.700000000000003"/>
    <n v="1"/>
  </r>
  <r>
    <s v="USR-101267"/>
    <d v="2025-03-08T00:00:00"/>
    <x v="1"/>
    <x v="1"/>
    <x v="1"/>
    <s v="Email"/>
    <x v="1"/>
    <n v="1"/>
    <n v="0"/>
    <n v="0"/>
    <n v="0"/>
    <n v="0"/>
    <n v="0"/>
    <n v="0"/>
    <m/>
    <n v="72.7"/>
    <n v="1"/>
  </r>
  <r>
    <s v="USR-101268"/>
    <d v="2025-04-16T00:00:00"/>
    <x v="1"/>
    <x v="2"/>
    <x v="0"/>
    <s v="Paid Search"/>
    <x v="0"/>
    <n v="0"/>
    <n v="0"/>
    <n v="0"/>
    <n v="0"/>
    <n v="0"/>
    <n v="0"/>
    <n v="0"/>
    <m/>
    <n v="64.7"/>
    <n v="1"/>
  </r>
  <r>
    <s v="USR-101269"/>
    <d v="2025-02-19T00:00:00"/>
    <x v="1"/>
    <x v="1"/>
    <x v="0"/>
    <s v="Paid Search"/>
    <x v="2"/>
    <n v="0"/>
    <n v="0"/>
    <n v="0"/>
    <n v="0"/>
    <n v="0"/>
    <n v="1"/>
    <n v="0"/>
    <m/>
    <n v="48.6"/>
    <n v="1"/>
  </r>
  <r>
    <s v="USR-101270"/>
    <d v="2025-03-16T00:00:00"/>
    <x v="1"/>
    <x v="2"/>
    <x v="0"/>
    <s v="Social"/>
    <x v="1"/>
    <n v="1"/>
    <n v="1"/>
    <n v="0"/>
    <n v="0"/>
    <n v="0"/>
    <n v="0"/>
    <n v="0"/>
    <m/>
    <n v="66.2"/>
    <n v="1"/>
  </r>
  <r>
    <s v="USR-101271"/>
    <d v="2025-02-03T00:00:00"/>
    <x v="1"/>
    <x v="1"/>
    <x v="3"/>
    <s v="Referral"/>
    <x v="0"/>
    <n v="1"/>
    <n v="0"/>
    <n v="0"/>
    <n v="0"/>
    <n v="0"/>
    <n v="1"/>
    <n v="0"/>
    <m/>
    <n v="60.7"/>
    <n v="1"/>
  </r>
  <r>
    <s v="USR-101272"/>
    <d v="2025-03-12T00:00:00"/>
    <x v="1"/>
    <x v="1"/>
    <x v="1"/>
    <s v="Paid Search"/>
    <x v="0"/>
    <n v="1"/>
    <n v="0"/>
    <n v="0"/>
    <n v="0"/>
    <n v="0"/>
    <n v="0"/>
    <n v="0"/>
    <m/>
    <n v="36.5"/>
    <n v="1"/>
  </r>
  <r>
    <s v="USR-101273"/>
    <d v="2025-05-09T00:00:00"/>
    <x v="1"/>
    <x v="1"/>
    <x v="1"/>
    <s v="Social"/>
    <x v="1"/>
    <n v="1"/>
    <n v="1"/>
    <n v="1"/>
    <n v="0"/>
    <n v="0"/>
    <n v="3"/>
    <n v="0"/>
    <m/>
    <n v="69.7"/>
    <n v="1"/>
  </r>
  <r>
    <s v="USR-101274"/>
    <d v="2025-01-19T00:00:00"/>
    <x v="1"/>
    <x v="3"/>
    <x v="0"/>
    <s v="Social"/>
    <x v="2"/>
    <n v="1"/>
    <n v="0"/>
    <n v="0"/>
    <n v="0"/>
    <n v="0"/>
    <n v="0"/>
    <n v="0"/>
    <m/>
    <n v="81.8"/>
    <n v="1"/>
  </r>
  <r>
    <s v="USR-101275"/>
    <d v="2025-01-24T00:00:00"/>
    <x v="1"/>
    <x v="1"/>
    <x v="1"/>
    <s v="Referral"/>
    <x v="1"/>
    <n v="1"/>
    <n v="1"/>
    <n v="1"/>
    <n v="0"/>
    <n v="0"/>
    <n v="1"/>
    <n v="0"/>
    <m/>
    <n v="78.3"/>
    <n v="1"/>
  </r>
  <r>
    <s v="USR-101276"/>
    <d v="2025-03-03T00:00:00"/>
    <x v="1"/>
    <x v="2"/>
    <x v="1"/>
    <s v="Referral"/>
    <x v="1"/>
    <n v="1"/>
    <n v="1"/>
    <n v="0"/>
    <n v="0"/>
    <n v="0"/>
    <n v="0"/>
    <n v="0"/>
    <m/>
    <n v="79.400000000000006"/>
    <n v="1"/>
  </r>
  <r>
    <s v="USR-101277"/>
    <d v="2025-05-27T00:00:00"/>
    <x v="1"/>
    <x v="0"/>
    <x v="0"/>
    <s v="Referral"/>
    <x v="1"/>
    <n v="1"/>
    <n v="1"/>
    <n v="1"/>
    <n v="0"/>
    <n v="0"/>
    <n v="0"/>
    <n v="0"/>
    <m/>
    <n v="54.9"/>
    <n v="1"/>
  </r>
  <r>
    <s v="USR-101278"/>
    <d v="2025-04-23T00:00:00"/>
    <x v="1"/>
    <x v="1"/>
    <x v="0"/>
    <s v="Organic"/>
    <x v="0"/>
    <n v="1"/>
    <n v="0"/>
    <n v="0"/>
    <n v="0"/>
    <n v="0"/>
    <n v="0"/>
    <n v="0"/>
    <m/>
    <n v="54.9"/>
    <n v="1"/>
  </r>
  <r>
    <s v="USR-101279"/>
    <d v="2025-02-10T00:00:00"/>
    <x v="1"/>
    <x v="2"/>
    <x v="0"/>
    <s v="Social"/>
    <x v="1"/>
    <n v="0"/>
    <n v="0"/>
    <n v="0"/>
    <n v="0"/>
    <n v="0"/>
    <n v="0"/>
    <n v="0"/>
    <m/>
    <n v="28.7"/>
    <n v="1"/>
  </r>
  <r>
    <s v="USR-101280"/>
    <d v="2025-02-11T00:00:00"/>
    <x v="1"/>
    <x v="0"/>
    <x v="1"/>
    <s v="Organic"/>
    <x v="1"/>
    <n v="0"/>
    <n v="0"/>
    <n v="0"/>
    <n v="0"/>
    <n v="0"/>
    <n v="0"/>
    <n v="0"/>
    <m/>
    <n v="68.8"/>
    <n v="1"/>
  </r>
  <r>
    <s v="USR-101281"/>
    <d v="2025-01-21T00:00:00"/>
    <x v="1"/>
    <x v="2"/>
    <x v="0"/>
    <s v="Paid Search"/>
    <x v="1"/>
    <n v="1"/>
    <n v="1"/>
    <n v="1"/>
    <n v="0"/>
    <n v="0"/>
    <n v="0"/>
    <n v="0"/>
    <m/>
    <n v="43.5"/>
    <n v="1"/>
  </r>
  <r>
    <s v="USR-101282"/>
    <d v="2025-02-02T00:00:00"/>
    <x v="1"/>
    <x v="1"/>
    <x v="0"/>
    <s v="Social"/>
    <x v="1"/>
    <n v="1"/>
    <n v="1"/>
    <n v="0"/>
    <n v="0"/>
    <n v="0"/>
    <n v="0"/>
    <n v="0"/>
    <m/>
    <n v="62.6"/>
    <n v="1"/>
  </r>
  <r>
    <s v="USR-101283"/>
    <d v="2025-02-02T00:00:00"/>
    <x v="1"/>
    <x v="1"/>
    <x v="1"/>
    <s v="Organic"/>
    <x v="1"/>
    <n v="0"/>
    <n v="0"/>
    <n v="0"/>
    <n v="0"/>
    <n v="0"/>
    <n v="1"/>
    <n v="0"/>
    <m/>
    <n v="54.1"/>
    <n v="1"/>
  </r>
  <r>
    <s v="USR-101284"/>
    <d v="2025-02-26T00:00:00"/>
    <x v="1"/>
    <x v="1"/>
    <x v="2"/>
    <s v="Social"/>
    <x v="1"/>
    <n v="1"/>
    <n v="1"/>
    <n v="1"/>
    <n v="0"/>
    <n v="0"/>
    <n v="0"/>
    <n v="0"/>
    <m/>
    <n v="80.099999999999994"/>
    <n v="1"/>
  </r>
  <r>
    <s v="USR-101285"/>
    <d v="2025-04-22T00:00:00"/>
    <x v="1"/>
    <x v="0"/>
    <x v="1"/>
    <s v="Social"/>
    <x v="2"/>
    <n v="1"/>
    <n v="0"/>
    <n v="0"/>
    <n v="0"/>
    <n v="0"/>
    <n v="0"/>
    <n v="0"/>
    <m/>
    <n v="69.5"/>
    <n v="1"/>
  </r>
  <r>
    <s v="USR-101286"/>
    <d v="2025-03-11T00:00:00"/>
    <x v="1"/>
    <x v="0"/>
    <x v="0"/>
    <s v="Organic"/>
    <x v="0"/>
    <n v="0"/>
    <n v="0"/>
    <n v="0"/>
    <n v="0"/>
    <n v="0"/>
    <n v="2"/>
    <n v="0"/>
    <m/>
    <n v="46.6"/>
    <n v="1"/>
  </r>
  <r>
    <s v="USR-101287"/>
    <d v="2025-05-08T00:00:00"/>
    <x v="1"/>
    <x v="3"/>
    <x v="1"/>
    <s v="Organic"/>
    <x v="2"/>
    <n v="1"/>
    <n v="0"/>
    <n v="0"/>
    <n v="0"/>
    <n v="0"/>
    <n v="1"/>
    <n v="0"/>
    <m/>
    <n v="54.9"/>
    <n v="1"/>
  </r>
  <r>
    <s v="USR-101288"/>
    <d v="2025-03-10T00:00:00"/>
    <x v="1"/>
    <x v="2"/>
    <x v="0"/>
    <s v="Organic"/>
    <x v="1"/>
    <n v="0"/>
    <n v="0"/>
    <n v="0"/>
    <n v="0"/>
    <n v="0"/>
    <n v="0"/>
    <n v="0"/>
    <m/>
    <n v="100"/>
    <n v="1"/>
  </r>
  <r>
    <s v="USR-101289"/>
    <d v="2025-04-16T00:00:00"/>
    <x v="1"/>
    <x v="2"/>
    <x v="0"/>
    <s v="Paid Search"/>
    <x v="1"/>
    <n v="1"/>
    <n v="1"/>
    <n v="1"/>
    <n v="0"/>
    <n v="0"/>
    <n v="1"/>
    <n v="0"/>
    <m/>
    <n v="80.5"/>
    <n v="1"/>
  </r>
  <r>
    <s v="USR-101290"/>
    <d v="2025-03-01T00:00:00"/>
    <x v="1"/>
    <x v="1"/>
    <x v="2"/>
    <s v="Organic"/>
    <x v="0"/>
    <n v="1"/>
    <n v="0"/>
    <n v="0"/>
    <n v="0"/>
    <n v="0"/>
    <n v="0"/>
    <n v="0"/>
    <m/>
    <n v="51.2"/>
    <n v="1"/>
  </r>
  <r>
    <s v="USR-101291"/>
    <d v="2025-01-18T00:00:00"/>
    <x v="1"/>
    <x v="3"/>
    <x v="0"/>
    <s v="Organic"/>
    <x v="2"/>
    <n v="1"/>
    <n v="0"/>
    <n v="0"/>
    <n v="0"/>
    <n v="0"/>
    <n v="0"/>
    <n v="0"/>
    <m/>
    <n v="42.5"/>
    <n v="1"/>
  </r>
  <r>
    <s v="USR-101292"/>
    <d v="2025-03-30T00:00:00"/>
    <x v="1"/>
    <x v="0"/>
    <x v="1"/>
    <s v="Paid Search"/>
    <x v="1"/>
    <n v="0"/>
    <n v="0"/>
    <n v="0"/>
    <n v="0"/>
    <n v="0"/>
    <n v="0"/>
    <n v="0"/>
    <m/>
    <n v="72.5"/>
    <n v="1"/>
  </r>
  <r>
    <s v="USR-101293"/>
    <d v="2025-05-26T00:00:00"/>
    <x v="1"/>
    <x v="1"/>
    <x v="1"/>
    <s v="Social"/>
    <x v="2"/>
    <n v="0"/>
    <n v="0"/>
    <n v="0"/>
    <n v="0"/>
    <n v="0"/>
    <n v="0"/>
    <n v="0"/>
    <m/>
    <n v="74.400000000000006"/>
    <n v="1"/>
  </r>
  <r>
    <s v="USR-101294"/>
    <d v="2025-03-19T00:00:00"/>
    <x v="1"/>
    <x v="2"/>
    <x v="0"/>
    <s v="Social"/>
    <x v="1"/>
    <n v="0"/>
    <n v="0"/>
    <n v="0"/>
    <n v="0"/>
    <n v="0"/>
    <n v="0"/>
    <n v="0"/>
    <m/>
    <n v="78.400000000000006"/>
    <n v="1"/>
  </r>
  <r>
    <s v="USR-101295"/>
    <d v="2025-03-28T00:00:00"/>
    <x v="1"/>
    <x v="0"/>
    <x v="0"/>
    <s v="Referral"/>
    <x v="1"/>
    <n v="1"/>
    <n v="0"/>
    <n v="0"/>
    <n v="0"/>
    <n v="0"/>
    <n v="0"/>
    <n v="0"/>
    <m/>
    <n v="71.5"/>
    <n v="1"/>
  </r>
  <r>
    <s v="USR-101296"/>
    <d v="2025-05-28T00:00:00"/>
    <x v="1"/>
    <x v="3"/>
    <x v="0"/>
    <s v="Social"/>
    <x v="1"/>
    <n v="1"/>
    <n v="0"/>
    <n v="0"/>
    <n v="0"/>
    <n v="0"/>
    <n v="0"/>
    <n v="0"/>
    <m/>
    <n v="66.7"/>
    <n v="1"/>
  </r>
  <r>
    <s v="USR-101297"/>
    <d v="2025-05-31T00:00:00"/>
    <x v="1"/>
    <x v="3"/>
    <x v="0"/>
    <s v="Referral"/>
    <x v="2"/>
    <n v="1"/>
    <n v="1"/>
    <n v="1"/>
    <n v="1"/>
    <n v="1496.09"/>
    <n v="0"/>
    <n v="0"/>
    <n v="7"/>
    <n v="60.4"/>
    <n v="1"/>
  </r>
  <r>
    <s v="USR-101298"/>
    <d v="2025-05-10T00:00:00"/>
    <x v="1"/>
    <x v="0"/>
    <x v="1"/>
    <s v="Referral"/>
    <x v="1"/>
    <n v="0"/>
    <n v="0"/>
    <n v="0"/>
    <n v="0"/>
    <n v="0"/>
    <n v="1"/>
    <n v="0"/>
    <m/>
    <n v="72.900000000000006"/>
    <n v="1"/>
  </r>
  <r>
    <s v="USR-101299"/>
    <d v="2025-05-17T00:00:00"/>
    <x v="1"/>
    <x v="1"/>
    <x v="1"/>
    <s v="Organic"/>
    <x v="1"/>
    <n v="0"/>
    <n v="0"/>
    <n v="0"/>
    <n v="0"/>
    <n v="0"/>
    <n v="3"/>
    <n v="0"/>
    <m/>
    <m/>
    <n v="1"/>
  </r>
  <r>
    <s v="USR-101300"/>
    <d v="2025-01-18T00:00:00"/>
    <x v="1"/>
    <x v="3"/>
    <x v="1"/>
    <s v="Organic"/>
    <x v="2"/>
    <n v="1"/>
    <n v="0"/>
    <n v="0"/>
    <n v="0"/>
    <n v="0"/>
    <n v="0"/>
    <n v="0"/>
    <m/>
    <n v="55.2"/>
    <n v="1"/>
  </r>
  <r>
    <s v="USR-101301"/>
    <d v="2025-05-04T00:00:00"/>
    <x v="1"/>
    <x v="1"/>
    <x v="1"/>
    <s v="Social"/>
    <x v="1"/>
    <n v="1"/>
    <n v="0"/>
    <n v="0"/>
    <n v="0"/>
    <n v="0"/>
    <n v="0"/>
    <n v="0"/>
    <m/>
    <n v="67.8"/>
    <n v="1"/>
  </r>
  <r>
    <s v="USR-101302"/>
    <d v="2025-03-25T00:00:00"/>
    <x v="1"/>
    <x v="0"/>
    <x v="1"/>
    <s v="Organic"/>
    <x v="1"/>
    <n v="1"/>
    <n v="0"/>
    <n v="0"/>
    <n v="0"/>
    <n v="0"/>
    <n v="2"/>
    <n v="0"/>
    <m/>
    <n v="70"/>
    <n v="1"/>
  </r>
  <r>
    <s v="USR-101303"/>
    <d v="2025-02-27T00:00:00"/>
    <x v="1"/>
    <x v="0"/>
    <x v="1"/>
    <s v="Social"/>
    <x v="0"/>
    <n v="1"/>
    <n v="1"/>
    <n v="1"/>
    <n v="0"/>
    <n v="0"/>
    <n v="0"/>
    <n v="0"/>
    <m/>
    <n v="51.1"/>
    <n v="1"/>
  </r>
  <r>
    <s v="USR-101304"/>
    <d v="2025-01-14T00:00:00"/>
    <x v="1"/>
    <x v="1"/>
    <x v="1"/>
    <s v="Paid Search"/>
    <x v="0"/>
    <n v="1"/>
    <n v="1"/>
    <n v="1"/>
    <n v="0"/>
    <n v="0"/>
    <n v="0"/>
    <n v="0"/>
    <m/>
    <n v="57"/>
    <n v="1"/>
  </r>
  <r>
    <s v="USR-101305"/>
    <d v="2025-04-11T00:00:00"/>
    <x v="1"/>
    <x v="2"/>
    <x v="1"/>
    <s v="Social"/>
    <x v="1"/>
    <n v="0"/>
    <n v="0"/>
    <n v="0"/>
    <n v="0"/>
    <n v="0"/>
    <n v="1"/>
    <n v="0"/>
    <m/>
    <n v="47.1"/>
    <n v="1"/>
  </r>
  <r>
    <s v="USR-101306"/>
    <d v="2025-03-26T00:00:00"/>
    <x v="1"/>
    <x v="2"/>
    <x v="0"/>
    <s v="Social"/>
    <x v="0"/>
    <n v="0"/>
    <n v="0"/>
    <n v="0"/>
    <n v="0"/>
    <n v="0"/>
    <n v="0"/>
    <n v="0"/>
    <m/>
    <n v="30.7"/>
    <n v="1"/>
  </r>
  <r>
    <s v="USR-101307"/>
    <d v="2025-02-12T00:00:00"/>
    <x v="1"/>
    <x v="1"/>
    <x v="0"/>
    <s v="Social"/>
    <x v="1"/>
    <n v="1"/>
    <n v="0"/>
    <n v="0"/>
    <n v="0"/>
    <n v="0"/>
    <n v="0"/>
    <n v="0"/>
    <m/>
    <n v="57.3"/>
    <n v="1"/>
  </r>
  <r>
    <s v="USR-101308"/>
    <d v="2025-02-18T00:00:00"/>
    <x v="1"/>
    <x v="1"/>
    <x v="2"/>
    <s v="Paid Search"/>
    <x v="0"/>
    <n v="1"/>
    <n v="0"/>
    <n v="0"/>
    <n v="0"/>
    <n v="0"/>
    <n v="0"/>
    <n v="0"/>
    <m/>
    <n v="70"/>
    <n v="1"/>
  </r>
  <r>
    <s v="USR-101309"/>
    <d v="2025-05-25T00:00:00"/>
    <x v="1"/>
    <x v="2"/>
    <x v="0"/>
    <s v="Social"/>
    <x v="1"/>
    <n v="1"/>
    <n v="1"/>
    <n v="1"/>
    <n v="0"/>
    <n v="0"/>
    <n v="0"/>
    <n v="0"/>
    <m/>
    <n v="59.7"/>
    <n v="1"/>
  </r>
  <r>
    <s v="USR-101310"/>
    <d v="2025-05-23T00:00:00"/>
    <x v="1"/>
    <x v="2"/>
    <x v="0"/>
    <s v="Paid Search"/>
    <x v="0"/>
    <n v="1"/>
    <n v="0"/>
    <n v="0"/>
    <n v="0"/>
    <n v="0"/>
    <n v="0"/>
    <n v="0"/>
    <m/>
    <n v="68.8"/>
    <n v="1"/>
  </r>
  <r>
    <s v="USR-101311"/>
    <d v="2025-01-16T00:00:00"/>
    <x v="1"/>
    <x v="0"/>
    <x v="0"/>
    <s v="Organic"/>
    <x v="1"/>
    <n v="1"/>
    <n v="1"/>
    <n v="1"/>
    <n v="1"/>
    <n v="428.37"/>
    <n v="0"/>
    <n v="0"/>
    <n v="9"/>
    <n v="88.3"/>
    <n v="1"/>
  </r>
  <r>
    <s v="USR-101312"/>
    <d v="2025-01-19T00:00:00"/>
    <x v="1"/>
    <x v="1"/>
    <x v="0"/>
    <s v="Email"/>
    <x v="0"/>
    <n v="0"/>
    <n v="0"/>
    <n v="0"/>
    <n v="0"/>
    <n v="0"/>
    <n v="0"/>
    <n v="0"/>
    <m/>
    <n v="83.4"/>
    <n v="1"/>
  </r>
  <r>
    <s v="USR-101313"/>
    <d v="2025-05-18T00:00:00"/>
    <x v="1"/>
    <x v="3"/>
    <x v="1"/>
    <s v="Referral"/>
    <x v="1"/>
    <n v="0"/>
    <n v="0"/>
    <n v="0"/>
    <n v="0"/>
    <n v="0"/>
    <n v="1"/>
    <n v="0"/>
    <m/>
    <n v="81.599999999999994"/>
    <n v="1"/>
  </r>
  <r>
    <s v="USR-101314"/>
    <d v="2025-01-23T00:00:00"/>
    <x v="1"/>
    <x v="2"/>
    <x v="2"/>
    <s v="Social"/>
    <x v="2"/>
    <n v="1"/>
    <n v="0"/>
    <n v="0"/>
    <n v="0"/>
    <n v="0"/>
    <n v="0"/>
    <n v="0"/>
    <m/>
    <n v="91.6"/>
    <n v="1"/>
  </r>
  <r>
    <s v="USR-101315"/>
    <d v="2025-01-08T00:00:00"/>
    <x v="1"/>
    <x v="2"/>
    <x v="2"/>
    <m/>
    <x v="2"/>
    <n v="1"/>
    <n v="1"/>
    <n v="1"/>
    <n v="0"/>
    <n v="0"/>
    <n v="1"/>
    <n v="0"/>
    <m/>
    <n v="61.5"/>
    <n v="1"/>
  </r>
  <r>
    <s v="USR-101316"/>
    <d v="2025-02-19T00:00:00"/>
    <x v="1"/>
    <x v="0"/>
    <x v="1"/>
    <s v="Organic"/>
    <x v="2"/>
    <n v="0"/>
    <n v="0"/>
    <n v="0"/>
    <n v="0"/>
    <n v="0"/>
    <n v="0"/>
    <n v="0"/>
    <m/>
    <m/>
    <n v="1"/>
  </r>
  <r>
    <s v="USR-101317"/>
    <d v="2025-02-10T00:00:00"/>
    <x v="1"/>
    <x v="3"/>
    <x v="1"/>
    <s v="Organic"/>
    <x v="1"/>
    <n v="1"/>
    <n v="0"/>
    <n v="0"/>
    <n v="0"/>
    <n v="0"/>
    <n v="0"/>
    <n v="0"/>
    <m/>
    <n v="32.6"/>
    <n v="1"/>
  </r>
  <r>
    <s v="USR-101318"/>
    <d v="2025-04-13T00:00:00"/>
    <x v="1"/>
    <x v="3"/>
    <x v="1"/>
    <s v="Paid Search"/>
    <x v="1"/>
    <n v="1"/>
    <n v="0"/>
    <n v="0"/>
    <n v="0"/>
    <n v="0"/>
    <n v="0"/>
    <n v="0"/>
    <m/>
    <n v="73.900000000000006"/>
    <n v="1"/>
  </r>
  <r>
    <s v="USR-101319"/>
    <d v="2025-05-20T00:00:00"/>
    <x v="1"/>
    <x v="2"/>
    <x v="1"/>
    <s v="Organic"/>
    <x v="1"/>
    <n v="1"/>
    <n v="1"/>
    <n v="1"/>
    <n v="1"/>
    <n v="444.06"/>
    <n v="0"/>
    <n v="0"/>
    <n v="9"/>
    <n v="99.9"/>
    <n v="1"/>
  </r>
  <r>
    <s v="USR-101320"/>
    <d v="2025-05-13T00:00:00"/>
    <x v="1"/>
    <x v="3"/>
    <x v="1"/>
    <s v="Paid Search"/>
    <x v="0"/>
    <n v="1"/>
    <n v="1"/>
    <n v="0"/>
    <n v="0"/>
    <n v="0"/>
    <n v="1"/>
    <n v="0"/>
    <m/>
    <n v="62.4"/>
    <n v="1"/>
  </r>
  <r>
    <s v="USR-101321"/>
    <d v="2025-05-28T00:00:00"/>
    <x v="1"/>
    <x v="3"/>
    <x v="0"/>
    <s v="Paid Search"/>
    <x v="0"/>
    <n v="1"/>
    <n v="0"/>
    <n v="0"/>
    <n v="0"/>
    <n v="0"/>
    <n v="0"/>
    <n v="0"/>
    <m/>
    <n v="46.1"/>
    <n v="1"/>
  </r>
  <r>
    <s v="USR-101322"/>
    <d v="2025-03-19T00:00:00"/>
    <x v="1"/>
    <x v="1"/>
    <x v="1"/>
    <s v="Organic"/>
    <x v="1"/>
    <n v="1"/>
    <n v="1"/>
    <n v="1"/>
    <n v="1"/>
    <n v="2660.21"/>
    <n v="0"/>
    <n v="0"/>
    <n v="3"/>
    <n v="73.900000000000006"/>
    <n v="1"/>
  </r>
  <r>
    <s v="USR-101323"/>
    <d v="2025-02-03T00:00:00"/>
    <x v="1"/>
    <x v="0"/>
    <x v="1"/>
    <s v="Email"/>
    <x v="2"/>
    <n v="0"/>
    <n v="0"/>
    <n v="0"/>
    <n v="0"/>
    <n v="0"/>
    <n v="0"/>
    <n v="0"/>
    <m/>
    <n v="90"/>
    <n v="1"/>
  </r>
  <r>
    <s v="USR-101324"/>
    <d v="2025-02-26T00:00:00"/>
    <x v="1"/>
    <x v="3"/>
    <x v="1"/>
    <s v="Email"/>
    <x v="0"/>
    <n v="1"/>
    <n v="0"/>
    <n v="0"/>
    <n v="0"/>
    <n v="0"/>
    <n v="1"/>
    <n v="0"/>
    <m/>
    <n v="68.8"/>
    <n v="1"/>
  </r>
  <r>
    <s v="USR-101325"/>
    <d v="2025-01-26T00:00:00"/>
    <x v="1"/>
    <x v="1"/>
    <x v="1"/>
    <s v="Paid Search"/>
    <x v="1"/>
    <n v="1"/>
    <n v="0"/>
    <n v="0"/>
    <n v="0"/>
    <n v="0"/>
    <n v="0"/>
    <n v="0"/>
    <m/>
    <n v="66.599999999999994"/>
    <n v="1"/>
  </r>
  <r>
    <s v="USR-101326"/>
    <d v="2025-05-13T00:00:00"/>
    <x v="1"/>
    <x v="0"/>
    <x v="1"/>
    <s v="Organic"/>
    <x v="2"/>
    <n v="1"/>
    <n v="0"/>
    <n v="0"/>
    <n v="0"/>
    <n v="0"/>
    <n v="0"/>
    <n v="0"/>
    <m/>
    <n v="49.7"/>
    <n v="1"/>
  </r>
  <r>
    <s v="USR-101327"/>
    <d v="2025-02-02T00:00:00"/>
    <x v="1"/>
    <x v="3"/>
    <x v="1"/>
    <s v="Paid Search"/>
    <x v="0"/>
    <n v="0"/>
    <n v="0"/>
    <n v="0"/>
    <n v="0"/>
    <n v="0"/>
    <n v="0"/>
    <n v="0"/>
    <m/>
    <n v="67.900000000000006"/>
    <n v="1"/>
  </r>
  <r>
    <s v="USR-101328"/>
    <d v="2025-04-30T00:00:00"/>
    <x v="1"/>
    <x v="1"/>
    <x v="1"/>
    <m/>
    <x v="0"/>
    <n v="0"/>
    <n v="0"/>
    <n v="0"/>
    <n v="0"/>
    <n v="0"/>
    <n v="0"/>
    <n v="0"/>
    <m/>
    <n v="66.900000000000006"/>
    <n v="1"/>
  </r>
  <r>
    <s v="USR-101329"/>
    <d v="2025-03-29T00:00:00"/>
    <x v="1"/>
    <x v="2"/>
    <x v="1"/>
    <s v="Organic"/>
    <x v="1"/>
    <n v="0"/>
    <n v="0"/>
    <n v="0"/>
    <n v="0"/>
    <n v="0"/>
    <n v="0"/>
    <n v="0"/>
    <m/>
    <n v="46.1"/>
    <n v="1"/>
  </r>
  <r>
    <s v="USR-101330"/>
    <d v="2025-04-09T00:00:00"/>
    <x v="1"/>
    <x v="1"/>
    <x v="0"/>
    <s v="Referral"/>
    <x v="2"/>
    <n v="1"/>
    <n v="0"/>
    <n v="0"/>
    <n v="0"/>
    <n v="0"/>
    <n v="0"/>
    <n v="0"/>
    <m/>
    <n v="85.6"/>
    <n v="1"/>
  </r>
  <r>
    <s v="USR-101331"/>
    <d v="2025-01-22T00:00:00"/>
    <x v="1"/>
    <x v="3"/>
    <x v="2"/>
    <s v="Organic"/>
    <x v="1"/>
    <n v="0"/>
    <n v="0"/>
    <n v="0"/>
    <n v="0"/>
    <n v="0"/>
    <n v="0"/>
    <n v="0"/>
    <m/>
    <n v="39.6"/>
    <n v="1"/>
  </r>
  <r>
    <s v="USR-101332"/>
    <d v="2025-01-27T00:00:00"/>
    <x v="1"/>
    <x v="3"/>
    <x v="1"/>
    <s v="Organic"/>
    <x v="0"/>
    <n v="1"/>
    <n v="0"/>
    <n v="0"/>
    <n v="0"/>
    <n v="0"/>
    <n v="0"/>
    <n v="0"/>
    <m/>
    <n v="52.5"/>
    <n v="1"/>
  </r>
  <r>
    <s v="USR-101333"/>
    <d v="2025-01-22T00:00:00"/>
    <x v="1"/>
    <x v="2"/>
    <x v="1"/>
    <s v="Social"/>
    <x v="2"/>
    <n v="1"/>
    <n v="0"/>
    <n v="0"/>
    <n v="0"/>
    <n v="0"/>
    <n v="0"/>
    <n v="0"/>
    <m/>
    <n v="73.5"/>
    <n v="1"/>
  </r>
  <r>
    <s v="USR-101334"/>
    <d v="2025-01-06T00:00:00"/>
    <x v="1"/>
    <x v="1"/>
    <x v="0"/>
    <s v="Paid Search"/>
    <x v="1"/>
    <n v="0"/>
    <n v="0"/>
    <n v="0"/>
    <n v="0"/>
    <n v="0"/>
    <n v="0"/>
    <n v="0"/>
    <m/>
    <n v="62.5"/>
    <n v="1"/>
  </r>
  <r>
    <s v="USR-101335"/>
    <d v="2025-04-16T00:00:00"/>
    <x v="1"/>
    <x v="3"/>
    <x v="3"/>
    <s v="Organic"/>
    <x v="1"/>
    <n v="1"/>
    <n v="0"/>
    <n v="0"/>
    <n v="0"/>
    <n v="0"/>
    <n v="0"/>
    <n v="0"/>
    <m/>
    <n v="76.900000000000006"/>
    <n v="1"/>
  </r>
  <r>
    <s v="USR-101336"/>
    <d v="2025-04-14T00:00:00"/>
    <x v="1"/>
    <x v="3"/>
    <x v="1"/>
    <s v="Organic"/>
    <x v="1"/>
    <n v="1"/>
    <n v="0"/>
    <n v="0"/>
    <n v="0"/>
    <n v="0"/>
    <n v="0"/>
    <n v="0"/>
    <m/>
    <n v="51.4"/>
    <n v="1"/>
  </r>
  <r>
    <s v="USR-101337"/>
    <d v="2025-02-22T00:00:00"/>
    <x v="1"/>
    <x v="1"/>
    <x v="1"/>
    <s v="Paid Search"/>
    <x v="0"/>
    <n v="1"/>
    <n v="0"/>
    <n v="0"/>
    <n v="0"/>
    <n v="0"/>
    <n v="0"/>
    <n v="0"/>
    <m/>
    <n v="59.3"/>
    <n v="1"/>
  </r>
  <r>
    <s v="USR-101338"/>
    <d v="2025-03-09T00:00:00"/>
    <x v="1"/>
    <x v="0"/>
    <x v="1"/>
    <s v="Organic"/>
    <x v="0"/>
    <n v="0"/>
    <n v="0"/>
    <n v="0"/>
    <n v="0"/>
    <n v="0"/>
    <n v="0"/>
    <n v="0"/>
    <m/>
    <n v="74.900000000000006"/>
    <n v="1"/>
  </r>
  <r>
    <s v="USR-101339"/>
    <d v="2025-04-20T00:00:00"/>
    <x v="1"/>
    <x v="1"/>
    <x v="0"/>
    <s v="Organic"/>
    <x v="1"/>
    <n v="1"/>
    <n v="0"/>
    <n v="0"/>
    <n v="0"/>
    <n v="0"/>
    <n v="0"/>
    <n v="0"/>
    <m/>
    <n v="67"/>
    <n v="1"/>
  </r>
  <r>
    <s v="USR-101340"/>
    <d v="2025-03-10T00:00:00"/>
    <x v="1"/>
    <x v="3"/>
    <x v="1"/>
    <s v="Email"/>
    <x v="1"/>
    <n v="0"/>
    <n v="0"/>
    <n v="0"/>
    <n v="0"/>
    <n v="0"/>
    <n v="0"/>
    <n v="0"/>
    <m/>
    <n v="63.6"/>
    <n v="1"/>
  </r>
  <r>
    <s v="USR-101341"/>
    <d v="2025-02-21T00:00:00"/>
    <x v="1"/>
    <x v="3"/>
    <x v="1"/>
    <s v="Email"/>
    <x v="1"/>
    <n v="1"/>
    <n v="1"/>
    <n v="0"/>
    <n v="0"/>
    <n v="0"/>
    <n v="1"/>
    <n v="0"/>
    <m/>
    <n v="58.4"/>
    <n v="1"/>
  </r>
  <r>
    <s v="USR-101342"/>
    <d v="2025-01-06T00:00:00"/>
    <x v="1"/>
    <x v="0"/>
    <x v="0"/>
    <s v="Social"/>
    <x v="1"/>
    <n v="1"/>
    <n v="0"/>
    <n v="0"/>
    <n v="0"/>
    <n v="0"/>
    <n v="0"/>
    <n v="0"/>
    <m/>
    <n v="36.799999999999997"/>
    <n v="1"/>
  </r>
  <r>
    <s v="USR-101343"/>
    <d v="2025-04-17T00:00:00"/>
    <x v="1"/>
    <x v="3"/>
    <x v="1"/>
    <s v="Organic"/>
    <x v="2"/>
    <n v="1"/>
    <n v="0"/>
    <n v="0"/>
    <n v="0"/>
    <n v="0"/>
    <n v="0"/>
    <n v="0"/>
    <m/>
    <n v="71.599999999999994"/>
    <n v="1"/>
  </r>
  <r>
    <s v="USR-101344"/>
    <d v="2025-05-23T00:00:00"/>
    <x v="1"/>
    <x v="3"/>
    <x v="1"/>
    <s v="Email"/>
    <x v="0"/>
    <n v="1"/>
    <n v="1"/>
    <n v="0"/>
    <n v="0"/>
    <n v="0"/>
    <n v="1"/>
    <n v="0"/>
    <m/>
    <n v="79.7"/>
    <n v="1"/>
  </r>
  <r>
    <s v="USR-101345"/>
    <d v="2025-03-14T00:00:00"/>
    <x v="1"/>
    <x v="1"/>
    <x v="0"/>
    <s v="Organic"/>
    <x v="0"/>
    <n v="1"/>
    <n v="0"/>
    <n v="0"/>
    <n v="0"/>
    <n v="0"/>
    <n v="1"/>
    <n v="0"/>
    <m/>
    <n v="56.5"/>
    <n v="1"/>
  </r>
  <r>
    <s v="USR-101346"/>
    <d v="2025-04-21T00:00:00"/>
    <x v="1"/>
    <x v="0"/>
    <x v="1"/>
    <s v="Social"/>
    <x v="2"/>
    <n v="1"/>
    <n v="0"/>
    <n v="0"/>
    <n v="0"/>
    <n v="0"/>
    <n v="0"/>
    <n v="0"/>
    <m/>
    <n v="44.7"/>
    <n v="1"/>
  </r>
  <r>
    <s v="USR-101347"/>
    <d v="2025-01-03T00:00:00"/>
    <x v="1"/>
    <x v="3"/>
    <x v="1"/>
    <s v="Social"/>
    <x v="1"/>
    <n v="1"/>
    <n v="1"/>
    <n v="1"/>
    <n v="0"/>
    <n v="0"/>
    <n v="1"/>
    <n v="0"/>
    <m/>
    <n v="66"/>
    <n v="1"/>
  </r>
  <r>
    <s v="USR-101348"/>
    <d v="2025-05-09T00:00:00"/>
    <x v="1"/>
    <x v="0"/>
    <x v="0"/>
    <s v="Organic"/>
    <x v="0"/>
    <n v="1"/>
    <n v="0"/>
    <n v="0"/>
    <n v="0"/>
    <n v="0"/>
    <n v="0"/>
    <n v="0"/>
    <m/>
    <n v="73"/>
    <n v="1"/>
  </r>
  <r>
    <s v="USR-101349"/>
    <d v="2025-05-22T00:00:00"/>
    <x v="1"/>
    <x v="3"/>
    <x v="1"/>
    <s v="Organic"/>
    <x v="0"/>
    <n v="1"/>
    <n v="1"/>
    <n v="1"/>
    <n v="0"/>
    <n v="0"/>
    <n v="1"/>
    <n v="0"/>
    <m/>
    <n v="72.5"/>
    <n v="1"/>
  </r>
  <r>
    <s v="USR-101350"/>
    <d v="2025-05-07T00:00:00"/>
    <x v="1"/>
    <x v="3"/>
    <x v="0"/>
    <s v="Paid Search"/>
    <x v="1"/>
    <n v="1"/>
    <n v="1"/>
    <n v="1"/>
    <n v="1"/>
    <n v="323.60000000000002"/>
    <n v="0"/>
    <n v="0"/>
    <n v="6"/>
    <n v="100"/>
    <n v="1"/>
  </r>
  <r>
    <s v="USR-101351"/>
    <d v="2025-02-08T00:00:00"/>
    <x v="1"/>
    <x v="2"/>
    <x v="1"/>
    <s v="Social"/>
    <x v="1"/>
    <n v="0"/>
    <n v="0"/>
    <n v="0"/>
    <n v="0"/>
    <n v="0"/>
    <n v="1"/>
    <n v="0"/>
    <m/>
    <n v="90.5"/>
    <n v="1"/>
  </r>
  <r>
    <s v="USR-101352"/>
    <d v="2025-04-03T00:00:00"/>
    <x v="1"/>
    <x v="0"/>
    <x v="2"/>
    <s v="Social"/>
    <x v="0"/>
    <n v="1"/>
    <n v="0"/>
    <n v="0"/>
    <n v="0"/>
    <n v="0"/>
    <n v="0"/>
    <n v="0"/>
    <m/>
    <n v="70.2"/>
    <n v="1"/>
  </r>
  <r>
    <s v="USR-101353"/>
    <d v="2025-04-17T00:00:00"/>
    <x v="1"/>
    <x v="2"/>
    <x v="0"/>
    <s v="Paid Search"/>
    <x v="1"/>
    <n v="1"/>
    <n v="0"/>
    <n v="0"/>
    <n v="0"/>
    <n v="0"/>
    <n v="1"/>
    <n v="0"/>
    <m/>
    <n v="67.099999999999994"/>
    <n v="1"/>
  </r>
  <r>
    <s v="USR-101354"/>
    <d v="2025-05-04T00:00:00"/>
    <x v="1"/>
    <x v="2"/>
    <x v="1"/>
    <s v="Organic"/>
    <x v="1"/>
    <n v="0"/>
    <n v="0"/>
    <n v="0"/>
    <n v="0"/>
    <n v="0"/>
    <n v="0"/>
    <n v="0"/>
    <m/>
    <n v="54.5"/>
    <n v="1"/>
  </r>
  <r>
    <s v="USR-101355"/>
    <d v="2025-05-11T00:00:00"/>
    <x v="1"/>
    <x v="1"/>
    <x v="0"/>
    <s v="Organic"/>
    <x v="1"/>
    <n v="1"/>
    <n v="0"/>
    <n v="0"/>
    <n v="0"/>
    <n v="0"/>
    <n v="0"/>
    <n v="0"/>
    <m/>
    <n v="63.4"/>
    <n v="1"/>
  </r>
  <r>
    <s v="USR-101356"/>
    <d v="2025-03-01T00:00:00"/>
    <x v="1"/>
    <x v="0"/>
    <x v="0"/>
    <m/>
    <x v="1"/>
    <n v="1"/>
    <n v="1"/>
    <n v="1"/>
    <n v="0"/>
    <n v="0"/>
    <n v="0"/>
    <n v="0"/>
    <m/>
    <n v="84.3"/>
    <n v="1"/>
  </r>
  <r>
    <s v="USR-101357"/>
    <d v="2025-02-20T00:00:00"/>
    <x v="1"/>
    <x v="1"/>
    <x v="0"/>
    <s v="Organic"/>
    <x v="1"/>
    <n v="1"/>
    <n v="0"/>
    <n v="0"/>
    <n v="0"/>
    <n v="0"/>
    <n v="1"/>
    <n v="0"/>
    <m/>
    <n v="55"/>
    <n v="1"/>
  </r>
  <r>
    <s v="USR-101358"/>
    <d v="2025-05-09T00:00:00"/>
    <x v="1"/>
    <x v="1"/>
    <x v="1"/>
    <s v="Social"/>
    <x v="1"/>
    <n v="1"/>
    <n v="0"/>
    <n v="0"/>
    <n v="0"/>
    <n v="0"/>
    <n v="0"/>
    <n v="0"/>
    <m/>
    <n v="63.6"/>
    <n v="1"/>
  </r>
  <r>
    <s v="USR-101359"/>
    <d v="2025-04-30T00:00:00"/>
    <x v="1"/>
    <x v="1"/>
    <x v="1"/>
    <s v="Organic"/>
    <x v="1"/>
    <n v="1"/>
    <n v="0"/>
    <n v="0"/>
    <n v="0"/>
    <n v="0"/>
    <n v="0"/>
    <n v="0"/>
    <m/>
    <n v="55.5"/>
    <n v="1"/>
  </r>
  <r>
    <s v="USR-101360"/>
    <d v="2025-01-07T00:00:00"/>
    <x v="1"/>
    <x v="3"/>
    <x v="1"/>
    <s v="Social"/>
    <x v="0"/>
    <n v="0"/>
    <n v="0"/>
    <n v="0"/>
    <n v="0"/>
    <n v="0"/>
    <n v="0"/>
    <n v="0"/>
    <m/>
    <n v="50.5"/>
    <n v="1"/>
  </r>
  <r>
    <s v="USR-101361"/>
    <d v="2025-04-30T00:00:00"/>
    <x v="1"/>
    <x v="0"/>
    <x v="1"/>
    <s v="Social"/>
    <x v="0"/>
    <n v="1"/>
    <n v="0"/>
    <n v="0"/>
    <n v="0"/>
    <n v="0"/>
    <n v="0"/>
    <n v="0"/>
    <m/>
    <n v="45.3"/>
    <n v="1"/>
  </r>
  <r>
    <s v="USR-101362"/>
    <d v="2025-05-23T00:00:00"/>
    <x v="1"/>
    <x v="2"/>
    <x v="1"/>
    <s v="Organic"/>
    <x v="0"/>
    <n v="1"/>
    <n v="0"/>
    <n v="0"/>
    <n v="0"/>
    <n v="0"/>
    <n v="0"/>
    <n v="0"/>
    <m/>
    <n v="33.6"/>
    <n v="2"/>
  </r>
  <r>
    <s v="USR-101363"/>
    <d v="2025-03-12T00:00:00"/>
    <x v="1"/>
    <x v="3"/>
    <x v="1"/>
    <s v="Paid Search"/>
    <x v="2"/>
    <n v="1"/>
    <n v="1"/>
    <n v="1"/>
    <n v="0"/>
    <n v="0"/>
    <n v="0"/>
    <n v="0"/>
    <m/>
    <n v="88.2"/>
    <n v="1"/>
  </r>
  <r>
    <s v="USR-101364"/>
    <d v="2025-02-17T00:00:00"/>
    <x v="1"/>
    <x v="0"/>
    <x v="1"/>
    <s v="Organic"/>
    <x v="2"/>
    <n v="1"/>
    <n v="0"/>
    <n v="0"/>
    <n v="0"/>
    <n v="0"/>
    <n v="0"/>
    <n v="0"/>
    <m/>
    <n v="51.8"/>
    <n v="1"/>
  </r>
  <r>
    <s v="USR-101365"/>
    <d v="2025-05-27T00:00:00"/>
    <x v="1"/>
    <x v="0"/>
    <x v="0"/>
    <s v="Organic"/>
    <x v="0"/>
    <n v="0"/>
    <n v="0"/>
    <n v="0"/>
    <n v="0"/>
    <n v="0"/>
    <n v="0"/>
    <n v="0"/>
    <m/>
    <n v="87.9"/>
    <n v="1"/>
  </r>
  <r>
    <s v="USR-101366"/>
    <d v="2025-05-10T00:00:00"/>
    <x v="1"/>
    <x v="3"/>
    <x v="1"/>
    <s v="Social"/>
    <x v="2"/>
    <n v="1"/>
    <n v="0"/>
    <n v="0"/>
    <n v="0"/>
    <n v="0"/>
    <n v="2"/>
    <n v="0"/>
    <m/>
    <n v="70.5"/>
    <n v="1"/>
  </r>
  <r>
    <s v="USR-101367"/>
    <d v="2025-01-20T00:00:00"/>
    <x v="1"/>
    <x v="0"/>
    <x v="1"/>
    <s v="Organic"/>
    <x v="0"/>
    <n v="1"/>
    <n v="1"/>
    <n v="0"/>
    <n v="0"/>
    <n v="0"/>
    <n v="2"/>
    <n v="0"/>
    <m/>
    <n v="58.5"/>
    <n v="1"/>
  </r>
  <r>
    <s v="USR-101368"/>
    <d v="2025-01-19T00:00:00"/>
    <x v="1"/>
    <x v="2"/>
    <x v="1"/>
    <s v="Referral"/>
    <x v="1"/>
    <n v="1"/>
    <n v="0"/>
    <n v="0"/>
    <n v="0"/>
    <n v="0"/>
    <n v="0"/>
    <n v="0"/>
    <m/>
    <n v="65.599999999999994"/>
    <n v="1"/>
  </r>
  <r>
    <s v="USR-101369"/>
    <d v="2025-03-07T00:00:00"/>
    <x v="1"/>
    <x v="1"/>
    <x v="0"/>
    <s v="Paid Search"/>
    <x v="0"/>
    <n v="1"/>
    <n v="1"/>
    <n v="0"/>
    <n v="0"/>
    <n v="0"/>
    <n v="0"/>
    <n v="0"/>
    <m/>
    <n v="62.7"/>
    <n v="1"/>
  </r>
  <r>
    <s v="USR-101370"/>
    <d v="2025-02-02T00:00:00"/>
    <x v="1"/>
    <x v="2"/>
    <x v="1"/>
    <s v="Organic"/>
    <x v="1"/>
    <n v="0"/>
    <n v="0"/>
    <n v="0"/>
    <n v="0"/>
    <n v="0"/>
    <n v="1"/>
    <n v="0"/>
    <m/>
    <n v="50.9"/>
    <n v="1"/>
  </r>
  <r>
    <s v="USR-101371"/>
    <d v="2025-03-07T00:00:00"/>
    <x v="1"/>
    <x v="0"/>
    <x v="1"/>
    <s v="Organic"/>
    <x v="1"/>
    <n v="0"/>
    <n v="0"/>
    <n v="0"/>
    <n v="0"/>
    <n v="0"/>
    <n v="1"/>
    <n v="0"/>
    <m/>
    <n v="60.6"/>
    <n v="1"/>
  </r>
  <r>
    <s v="USR-101372"/>
    <d v="2025-03-30T00:00:00"/>
    <x v="1"/>
    <x v="2"/>
    <x v="0"/>
    <s v="Organic"/>
    <x v="1"/>
    <n v="1"/>
    <n v="1"/>
    <n v="1"/>
    <n v="0"/>
    <n v="0"/>
    <n v="0"/>
    <n v="0"/>
    <m/>
    <n v="76.599999999999994"/>
    <n v="1"/>
  </r>
  <r>
    <s v="USR-101373"/>
    <d v="2025-05-05T00:00:00"/>
    <x v="1"/>
    <x v="2"/>
    <x v="0"/>
    <s v="Paid Search"/>
    <x v="1"/>
    <n v="1"/>
    <n v="1"/>
    <n v="1"/>
    <n v="0"/>
    <n v="0"/>
    <n v="0"/>
    <n v="0"/>
    <m/>
    <n v="54.4"/>
    <n v="1"/>
  </r>
  <r>
    <s v="USR-101374"/>
    <d v="2025-04-11T00:00:00"/>
    <x v="1"/>
    <x v="3"/>
    <x v="1"/>
    <s v="Social"/>
    <x v="1"/>
    <n v="1"/>
    <n v="0"/>
    <n v="0"/>
    <n v="0"/>
    <n v="0"/>
    <n v="0"/>
    <n v="0"/>
    <m/>
    <n v="31.2"/>
    <n v="1"/>
  </r>
  <r>
    <s v="USR-101375"/>
    <d v="2025-03-25T00:00:00"/>
    <x v="1"/>
    <x v="1"/>
    <x v="0"/>
    <s v="Email"/>
    <x v="2"/>
    <n v="1"/>
    <n v="0"/>
    <n v="0"/>
    <n v="0"/>
    <n v="0"/>
    <n v="0"/>
    <n v="0"/>
    <m/>
    <n v="72.400000000000006"/>
    <n v="1"/>
  </r>
  <r>
    <s v="USR-101376"/>
    <d v="2025-03-24T00:00:00"/>
    <x v="1"/>
    <x v="0"/>
    <x v="1"/>
    <s v="Organic"/>
    <x v="2"/>
    <n v="1"/>
    <n v="0"/>
    <n v="0"/>
    <n v="0"/>
    <n v="0"/>
    <n v="0"/>
    <n v="0"/>
    <m/>
    <n v="74.5"/>
    <n v="1"/>
  </r>
  <r>
    <s v="USR-101377"/>
    <d v="2025-04-27T00:00:00"/>
    <x v="1"/>
    <x v="2"/>
    <x v="1"/>
    <s v="Organic"/>
    <x v="0"/>
    <n v="0"/>
    <n v="0"/>
    <n v="0"/>
    <n v="0"/>
    <n v="0"/>
    <n v="0"/>
    <n v="0"/>
    <m/>
    <n v="52.6"/>
    <n v="1"/>
  </r>
  <r>
    <s v="USR-101378"/>
    <d v="2025-01-25T00:00:00"/>
    <x v="1"/>
    <x v="0"/>
    <x v="0"/>
    <s v="Paid Search"/>
    <x v="1"/>
    <n v="1"/>
    <n v="0"/>
    <n v="0"/>
    <n v="0"/>
    <n v="0"/>
    <n v="0"/>
    <n v="0"/>
    <m/>
    <n v="75.400000000000006"/>
    <n v="1"/>
  </r>
  <r>
    <s v="USR-101379"/>
    <d v="2025-02-17T00:00:00"/>
    <x v="1"/>
    <x v="0"/>
    <x v="2"/>
    <s v="Social"/>
    <x v="0"/>
    <n v="1"/>
    <n v="1"/>
    <n v="1"/>
    <n v="1"/>
    <n v="751.33"/>
    <n v="0"/>
    <n v="0"/>
    <n v="9"/>
    <n v="34"/>
    <n v="1"/>
  </r>
  <r>
    <s v="USR-101380"/>
    <d v="2025-04-13T00:00:00"/>
    <x v="1"/>
    <x v="3"/>
    <x v="0"/>
    <s v="Organic"/>
    <x v="1"/>
    <n v="1"/>
    <n v="0"/>
    <n v="0"/>
    <n v="0"/>
    <n v="0"/>
    <n v="0"/>
    <n v="0"/>
    <m/>
    <n v="67.099999999999994"/>
    <n v="1"/>
  </r>
  <r>
    <s v="USR-101381"/>
    <d v="2025-05-03T00:00:00"/>
    <x v="1"/>
    <x v="1"/>
    <x v="0"/>
    <s v="Paid Search"/>
    <x v="2"/>
    <n v="1"/>
    <n v="0"/>
    <n v="0"/>
    <n v="0"/>
    <n v="0"/>
    <n v="0"/>
    <n v="0"/>
    <m/>
    <n v="37.299999999999997"/>
    <n v="1"/>
  </r>
  <r>
    <s v="USR-101382"/>
    <d v="2025-04-29T00:00:00"/>
    <x v="1"/>
    <x v="1"/>
    <x v="1"/>
    <s v="Email"/>
    <x v="1"/>
    <n v="1"/>
    <n v="0"/>
    <n v="0"/>
    <n v="0"/>
    <n v="0"/>
    <n v="0"/>
    <n v="0"/>
    <m/>
    <n v="54.7"/>
    <n v="1"/>
  </r>
  <r>
    <s v="USR-101383"/>
    <d v="2025-05-03T00:00:00"/>
    <x v="1"/>
    <x v="2"/>
    <x v="0"/>
    <s v="Paid Search"/>
    <x v="1"/>
    <n v="1"/>
    <n v="0"/>
    <n v="0"/>
    <n v="0"/>
    <n v="0"/>
    <n v="0"/>
    <n v="0"/>
    <m/>
    <n v="51.8"/>
    <n v="1"/>
  </r>
  <r>
    <s v="USR-101384"/>
    <d v="2025-04-28T00:00:00"/>
    <x v="1"/>
    <x v="1"/>
    <x v="1"/>
    <s v="Paid Search"/>
    <x v="1"/>
    <n v="0"/>
    <n v="0"/>
    <n v="0"/>
    <n v="0"/>
    <n v="0"/>
    <n v="0"/>
    <n v="0"/>
    <m/>
    <n v="49.2"/>
    <n v="1"/>
  </r>
  <r>
    <s v="USR-101385"/>
    <d v="2025-01-21T00:00:00"/>
    <x v="1"/>
    <x v="1"/>
    <x v="1"/>
    <s v="Organic"/>
    <x v="1"/>
    <n v="1"/>
    <n v="0"/>
    <n v="0"/>
    <n v="0"/>
    <n v="0"/>
    <n v="2"/>
    <n v="0"/>
    <m/>
    <n v="58.8"/>
    <n v="1"/>
  </r>
  <r>
    <s v="USR-101386"/>
    <d v="2025-01-21T00:00:00"/>
    <x v="1"/>
    <x v="0"/>
    <x v="2"/>
    <s v="Paid Search"/>
    <x v="0"/>
    <n v="0"/>
    <n v="0"/>
    <n v="0"/>
    <n v="0"/>
    <n v="0"/>
    <n v="1"/>
    <n v="0"/>
    <m/>
    <n v="59.1"/>
    <n v="1"/>
  </r>
  <r>
    <s v="USR-101387"/>
    <d v="2025-05-21T00:00:00"/>
    <x v="1"/>
    <x v="1"/>
    <x v="0"/>
    <s v="Paid Search"/>
    <x v="1"/>
    <n v="1"/>
    <n v="0"/>
    <n v="0"/>
    <n v="0"/>
    <n v="0"/>
    <n v="2"/>
    <n v="0"/>
    <m/>
    <n v="49.6"/>
    <n v="1"/>
  </r>
  <r>
    <s v="USR-101388"/>
    <d v="2025-01-05T00:00:00"/>
    <x v="1"/>
    <x v="0"/>
    <x v="1"/>
    <s v="Referral"/>
    <x v="1"/>
    <n v="0"/>
    <n v="0"/>
    <n v="0"/>
    <n v="0"/>
    <n v="0"/>
    <n v="0"/>
    <n v="0"/>
    <m/>
    <n v="58.2"/>
    <n v="1"/>
  </r>
  <r>
    <s v="USR-101389"/>
    <d v="2025-03-06T00:00:00"/>
    <x v="1"/>
    <x v="3"/>
    <x v="0"/>
    <s v="Organic"/>
    <x v="1"/>
    <n v="1"/>
    <n v="0"/>
    <n v="0"/>
    <n v="0"/>
    <n v="0"/>
    <n v="0"/>
    <n v="0"/>
    <m/>
    <n v="66.8"/>
    <n v="1"/>
  </r>
  <r>
    <s v="USR-101390"/>
    <d v="2025-04-18T00:00:00"/>
    <x v="1"/>
    <x v="0"/>
    <x v="1"/>
    <s v="Paid Search"/>
    <x v="1"/>
    <n v="1"/>
    <n v="0"/>
    <n v="0"/>
    <n v="0"/>
    <n v="0"/>
    <n v="3"/>
    <n v="0"/>
    <m/>
    <n v="58.3"/>
    <n v="1"/>
  </r>
  <r>
    <s v="USR-101391"/>
    <d v="2025-04-15T00:00:00"/>
    <x v="1"/>
    <x v="1"/>
    <x v="1"/>
    <s v="Organic"/>
    <x v="0"/>
    <n v="1"/>
    <n v="1"/>
    <n v="1"/>
    <n v="0"/>
    <n v="0"/>
    <n v="0"/>
    <n v="0"/>
    <m/>
    <n v="38.5"/>
    <n v="1"/>
  </r>
  <r>
    <s v="USR-101392"/>
    <d v="2025-02-10T00:00:00"/>
    <x v="1"/>
    <x v="2"/>
    <x v="1"/>
    <s v="Paid Search"/>
    <x v="1"/>
    <n v="1"/>
    <n v="0"/>
    <n v="0"/>
    <n v="0"/>
    <n v="0"/>
    <n v="0"/>
    <n v="0"/>
    <m/>
    <n v="76.900000000000006"/>
    <n v="1"/>
  </r>
  <r>
    <s v="USR-101393"/>
    <d v="2025-05-08T00:00:00"/>
    <x v="1"/>
    <x v="2"/>
    <x v="1"/>
    <s v="Organic"/>
    <x v="1"/>
    <n v="1"/>
    <n v="0"/>
    <n v="0"/>
    <n v="0"/>
    <n v="0"/>
    <n v="0"/>
    <n v="0"/>
    <m/>
    <n v="54"/>
    <n v="1"/>
  </r>
  <r>
    <s v="USR-101394"/>
    <d v="2025-05-28T00:00:00"/>
    <x v="1"/>
    <x v="2"/>
    <x v="2"/>
    <s v="Organic"/>
    <x v="1"/>
    <n v="1"/>
    <n v="0"/>
    <n v="0"/>
    <n v="0"/>
    <n v="0"/>
    <n v="0"/>
    <n v="0"/>
    <m/>
    <n v="70.599999999999994"/>
    <n v="1"/>
  </r>
  <r>
    <s v="USR-101395"/>
    <d v="2025-04-25T00:00:00"/>
    <x v="1"/>
    <x v="0"/>
    <x v="2"/>
    <s v="Referral"/>
    <x v="2"/>
    <n v="1"/>
    <n v="1"/>
    <n v="1"/>
    <n v="0"/>
    <n v="0"/>
    <n v="1"/>
    <n v="0"/>
    <m/>
    <n v="69.400000000000006"/>
    <n v="1"/>
  </r>
  <r>
    <s v="USR-101396"/>
    <d v="2025-02-11T00:00:00"/>
    <x v="1"/>
    <x v="3"/>
    <x v="1"/>
    <m/>
    <x v="2"/>
    <n v="1"/>
    <n v="1"/>
    <n v="1"/>
    <n v="1"/>
    <n v="1009.9"/>
    <n v="0"/>
    <n v="0"/>
    <n v="6"/>
    <n v="89.7"/>
    <n v="1"/>
  </r>
  <r>
    <s v="USR-101397"/>
    <d v="2025-04-14T00:00:00"/>
    <x v="1"/>
    <x v="1"/>
    <x v="1"/>
    <s v="Organic"/>
    <x v="1"/>
    <n v="1"/>
    <n v="0"/>
    <n v="0"/>
    <n v="0"/>
    <n v="0"/>
    <n v="0"/>
    <n v="0"/>
    <m/>
    <n v="62.4"/>
    <n v="1"/>
  </r>
  <r>
    <s v="USR-101398"/>
    <d v="2025-02-04T00:00:00"/>
    <x v="1"/>
    <x v="1"/>
    <x v="2"/>
    <s v="Organic"/>
    <x v="2"/>
    <n v="0"/>
    <n v="0"/>
    <n v="0"/>
    <n v="0"/>
    <n v="0"/>
    <n v="0"/>
    <n v="0"/>
    <m/>
    <n v="67.3"/>
    <n v="1"/>
  </r>
  <r>
    <s v="USR-101399"/>
    <d v="2025-03-22T00:00:00"/>
    <x v="1"/>
    <x v="2"/>
    <x v="1"/>
    <s v="Referral"/>
    <x v="1"/>
    <n v="1"/>
    <n v="0"/>
    <n v="0"/>
    <n v="0"/>
    <n v="0"/>
    <n v="0"/>
    <n v="0"/>
    <m/>
    <n v="54.9"/>
    <n v="1"/>
  </r>
  <r>
    <s v="USR-101400"/>
    <d v="2025-04-18T00:00:00"/>
    <x v="1"/>
    <x v="2"/>
    <x v="0"/>
    <s v="Social"/>
    <x v="1"/>
    <n v="0"/>
    <n v="0"/>
    <n v="0"/>
    <n v="0"/>
    <n v="0"/>
    <n v="0"/>
    <n v="0"/>
    <m/>
    <n v="55.7"/>
    <n v="1"/>
  </r>
  <r>
    <s v="USR-100917"/>
    <d v="2025-02-23T00:00:00"/>
    <x v="1"/>
    <x v="1"/>
    <x v="0"/>
    <s v="Social"/>
    <x v="0"/>
    <n v="1"/>
    <n v="1"/>
    <n v="1"/>
    <n v="0"/>
    <n v="0"/>
    <n v="0"/>
    <n v="0"/>
    <m/>
    <n v="70.599999999999994"/>
    <n v="2"/>
  </r>
  <r>
    <s v="USR-100433"/>
    <d v="2025-02-03T00:00:00"/>
    <x v="0"/>
    <x v="0"/>
    <x v="2"/>
    <s v="Email"/>
    <x v="0"/>
    <n v="1"/>
    <n v="0"/>
    <n v="0"/>
    <n v="0"/>
    <n v="0"/>
    <n v="0"/>
    <n v="0"/>
    <m/>
    <n v="60.9"/>
    <n v="2"/>
  </r>
  <r>
    <s v="USR-101362"/>
    <d v="2025-05-23T00:00:00"/>
    <x v="1"/>
    <x v="2"/>
    <x v="1"/>
    <s v="Organic"/>
    <x v="0"/>
    <n v="1"/>
    <n v="0"/>
    <n v="0"/>
    <n v="0"/>
    <n v="0"/>
    <n v="0"/>
    <n v="0"/>
    <m/>
    <n v="33.6"/>
    <n v="2"/>
  </r>
  <r>
    <s v="USR-100096"/>
    <d v="2025-02-05T00:00:00"/>
    <x v="0"/>
    <x v="2"/>
    <x v="1"/>
    <s v="Social"/>
    <x v="1"/>
    <n v="0"/>
    <n v="0"/>
    <n v="0"/>
    <n v="0"/>
    <n v="0"/>
    <n v="0"/>
    <n v="0"/>
    <m/>
    <n v="68"/>
    <n v="2"/>
  </r>
  <r>
    <s v="USR-101210"/>
    <d v="2025-02-24T00:00:00"/>
    <x v="1"/>
    <x v="1"/>
    <x v="1"/>
    <s v="Organic"/>
    <x v="0"/>
    <n v="1"/>
    <n v="0"/>
    <n v="0"/>
    <n v="0"/>
    <n v="0"/>
    <n v="0"/>
    <n v="0"/>
    <m/>
    <n v="62"/>
    <n v="2"/>
  </r>
  <r>
    <s v="USR-101232"/>
    <d v="2025-03-30T00:00:00"/>
    <x v="1"/>
    <x v="2"/>
    <x v="1"/>
    <s v="Organic"/>
    <x v="1"/>
    <n v="1"/>
    <n v="1"/>
    <n v="1"/>
    <n v="0"/>
    <n v="0"/>
    <n v="1"/>
    <n v="0"/>
    <m/>
    <n v="72.5"/>
    <n v="2"/>
  </r>
  <r>
    <s v="USR-101059"/>
    <d v="2025-05-16T00:00:00"/>
    <x v="1"/>
    <x v="3"/>
    <x v="1"/>
    <s v="Organic"/>
    <x v="1"/>
    <n v="1"/>
    <n v="0"/>
    <n v="0"/>
    <n v="0"/>
    <n v="0"/>
    <n v="0"/>
    <n v="0"/>
    <m/>
    <n v="70.3"/>
    <n v="2"/>
  </r>
  <r>
    <s v="USR-100541"/>
    <d v="2025-05-22T00:00:00"/>
    <x v="0"/>
    <x v="0"/>
    <x v="1"/>
    <s v="Paid Search"/>
    <x v="0"/>
    <n v="1"/>
    <n v="1"/>
    <n v="0"/>
    <n v="0"/>
    <n v="0"/>
    <n v="0"/>
    <n v="0"/>
    <m/>
    <n v="39.9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FF449-28AC-4701-A7BF-FF547D078C16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3:M17" firstHeaderRow="1" firstDataRow="2" firstDataCol="1"/>
  <pivotFields count="17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0" baseItem="0"/>
  </dataFields>
  <formats count="2">
    <format dxfId="2">
      <pivotArea grandRow="1" outline="0" collapsedLevelsAreSubtotals="1" fieldPosition="0"/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CA9AF-2538-4121-B756-BFDFA169AA5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17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formats count="1">
    <format dxfId="5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57BA6-79D4-449F-B2C8-E48A2224779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F17" firstHeaderRow="1" firstDataRow="2" firstDataCol="1"/>
  <pivotFields count="17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formats count="5">
    <format dxfId="17">
      <pivotArea outline="0" collapsedLevelsAreSubtotals="1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Col="1" outline="0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9AA41-64C6-4D21-93AD-CA6C853BE7D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M8" firstHeaderRow="1" firstDataRow="2" firstDataCol="1"/>
  <pivotFields count="17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0" baseItem="0"/>
  </dataFields>
  <formats count="4">
    <format dxfId="12">
      <pivotArea outline="0" collapsedLevelsAreSubtotals="1" fieldPosition="0"/>
    </format>
    <format dxfId="13">
      <pivotArea dataOnly="0" labelOnly="1" fieldPosition="0">
        <references count="1">
          <reference field="4" count="0"/>
        </references>
      </pivotArea>
    </format>
    <format dxfId="14">
      <pivotArea dataOnly="0" labelOnly="1" grandCol="1" outline="0" fieldPosition="0"/>
    </format>
    <format dxfId="0">
      <pivotArea dataOnly="0" grandRow="1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9F2F-21B2-479F-92E1-527E883841F8}">
  <dimension ref="A1:C22"/>
  <sheetViews>
    <sheetView tabSelected="1" workbookViewId="0">
      <selection activeCell="C2" sqref="C1:C1048576"/>
    </sheetView>
  </sheetViews>
  <sheetFormatPr defaultRowHeight="14.4"/>
  <cols>
    <col min="1" max="1" width="23.88671875" bestFit="1" customWidth="1"/>
    <col min="2" max="2" width="15.6640625" bestFit="1" customWidth="1"/>
  </cols>
  <sheetData>
    <row r="1" spans="1:3">
      <c r="A1" s="50" t="s">
        <v>1526</v>
      </c>
      <c r="B1" s="82"/>
      <c r="C1" s="82"/>
    </row>
    <row r="3" spans="1:3">
      <c r="A3" s="84" t="s">
        <v>1449</v>
      </c>
      <c r="B3" s="84" t="s">
        <v>1438</v>
      </c>
      <c r="C3" s="84" t="s">
        <v>1450</v>
      </c>
    </row>
    <row r="4" spans="1:3">
      <c r="A4" s="19" t="s">
        <v>1453</v>
      </c>
      <c r="B4" s="85">
        <v>18</v>
      </c>
      <c r="C4" s="19" t="s">
        <v>1461</v>
      </c>
    </row>
    <row r="5" spans="1:3">
      <c r="A5" s="19" t="s">
        <v>1454</v>
      </c>
      <c r="B5" s="85">
        <v>24</v>
      </c>
      <c r="C5" s="19" t="s">
        <v>1461</v>
      </c>
    </row>
    <row r="6" spans="1:3">
      <c r="A6" s="19" t="s">
        <v>1455</v>
      </c>
      <c r="B6" s="85">
        <v>14</v>
      </c>
      <c r="C6" s="19" t="s">
        <v>1461</v>
      </c>
    </row>
    <row r="7" spans="1:3">
      <c r="A7" s="19" t="s">
        <v>1456</v>
      </c>
      <c r="B7" s="80" t="s">
        <v>1529</v>
      </c>
      <c r="C7" s="19" t="s">
        <v>1528</v>
      </c>
    </row>
    <row r="8" spans="1:3">
      <c r="A8" s="19" t="s">
        <v>1457</v>
      </c>
      <c r="B8" s="80">
        <v>693</v>
      </c>
      <c r="C8" s="19" t="s">
        <v>1527</v>
      </c>
    </row>
    <row r="9" spans="1:3">
      <c r="A9" s="19" t="s">
        <v>1458</v>
      </c>
      <c r="B9" s="80">
        <v>715</v>
      </c>
      <c r="C9" s="19" t="s">
        <v>1527</v>
      </c>
    </row>
    <row r="10" spans="1:3">
      <c r="A10" s="19" t="s">
        <v>1451</v>
      </c>
      <c r="B10" s="86" t="s">
        <v>1530</v>
      </c>
      <c r="C10" s="19" t="s">
        <v>1461</v>
      </c>
    </row>
    <row r="11" spans="1:3">
      <c r="A11" s="19" t="s">
        <v>1452</v>
      </c>
      <c r="B11" s="80">
        <v>0</v>
      </c>
      <c r="C11" s="19" t="s">
        <v>1528</v>
      </c>
    </row>
    <row r="12" spans="1:3">
      <c r="A12" s="19" t="s">
        <v>1459</v>
      </c>
      <c r="B12" s="62" t="s">
        <v>1460</v>
      </c>
      <c r="C12" s="19" t="s">
        <v>1462</v>
      </c>
    </row>
    <row r="15" spans="1:3">
      <c r="A15" s="83" t="s">
        <v>1463</v>
      </c>
      <c r="B15" s="23"/>
    </row>
    <row r="16" spans="1:3">
      <c r="A16" s="22" t="s">
        <v>1464</v>
      </c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</sheetData>
  <mergeCells count="3">
    <mergeCell ref="A15:B15"/>
    <mergeCell ref="A16:B22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551D-389F-4396-9FF5-561D7C41FCFC}">
  <dimension ref="A1:J20"/>
  <sheetViews>
    <sheetView workbookViewId="0">
      <selection activeCell="E16" sqref="E16"/>
    </sheetView>
  </sheetViews>
  <sheetFormatPr defaultRowHeight="14.4"/>
  <cols>
    <col min="1" max="1" width="16.6640625" bestFit="1" customWidth="1"/>
    <col min="2" max="2" width="15.109375" bestFit="1" customWidth="1"/>
  </cols>
  <sheetData>
    <row r="1" spans="1:10">
      <c r="A1" s="50" t="s">
        <v>1523</v>
      </c>
      <c r="B1" s="51"/>
      <c r="C1" s="51"/>
      <c r="D1" s="51"/>
    </row>
    <row r="4" spans="1:10" ht="15" thickBot="1">
      <c r="A4" s="79" t="s">
        <v>1437</v>
      </c>
      <c r="B4" s="79" t="s">
        <v>1438</v>
      </c>
    </row>
    <row r="5" spans="1:10" ht="15" thickBot="1">
      <c r="A5" s="19" t="s">
        <v>1439</v>
      </c>
      <c r="B5" s="80">
        <v>8610.7199999999993</v>
      </c>
      <c r="G5" s="39" t="s">
        <v>1524</v>
      </c>
      <c r="H5" s="43"/>
    </row>
    <row r="6" spans="1:10">
      <c r="A6" s="19" t="s">
        <v>1440</v>
      </c>
      <c r="B6" s="81" t="s">
        <v>1443</v>
      </c>
      <c r="E6" s="41" t="s">
        <v>1525</v>
      </c>
      <c r="F6" s="42"/>
      <c r="G6" s="42"/>
      <c r="H6" s="42"/>
      <c r="I6" s="42"/>
      <c r="J6" s="43"/>
    </row>
    <row r="7" spans="1:10">
      <c r="A7" s="19" t="s">
        <v>1441</v>
      </c>
      <c r="B7" s="80" t="s">
        <v>1444</v>
      </c>
      <c r="E7" s="44"/>
      <c r="F7" s="45"/>
      <c r="G7" s="45"/>
      <c r="H7" s="45"/>
      <c r="I7" s="45"/>
      <c r="J7" s="46"/>
    </row>
    <row r="8" spans="1:10">
      <c r="A8" s="19" t="s">
        <v>1442</v>
      </c>
      <c r="B8" s="62" t="s">
        <v>1445</v>
      </c>
      <c r="E8" s="44"/>
      <c r="F8" s="45"/>
      <c r="G8" s="45"/>
      <c r="H8" s="45"/>
      <c r="I8" s="45"/>
      <c r="J8" s="46"/>
    </row>
    <row r="9" spans="1:10">
      <c r="E9" s="44"/>
      <c r="F9" s="45"/>
      <c r="G9" s="45"/>
      <c r="H9" s="45"/>
      <c r="I9" s="45"/>
      <c r="J9" s="46"/>
    </row>
    <row r="10" spans="1:10">
      <c r="E10" s="44"/>
      <c r="F10" s="45"/>
      <c r="G10" s="45"/>
      <c r="H10" s="45"/>
      <c r="I10" s="45"/>
      <c r="J10" s="46"/>
    </row>
    <row r="11" spans="1:10">
      <c r="E11" s="44"/>
      <c r="F11" s="45"/>
      <c r="G11" s="45"/>
      <c r="H11" s="45"/>
      <c r="I11" s="45"/>
      <c r="J11" s="46"/>
    </row>
    <row r="12" spans="1:10" ht="15" thickBot="1">
      <c r="A12" s="78" t="s">
        <v>1447</v>
      </c>
      <c r="B12" s="78"/>
      <c r="C12" s="78"/>
      <c r="E12" s="47"/>
      <c r="F12" s="48"/>
      <c r="G12" s="48"/>
      <c r="H12" s="48"/>
      <c r="I12" s="48"/>
      <c r="J12" s="49"/>
    </row>
    <row r="13" spans="1:10">
      <c r="A13" s="22" t="s">
        <v>1446</v>
      </c>
      <c r="B13" s="22"/>
      <c r="C13" s="22"/>
    </row>
    <row r="14" spans="1:10">
      <c r="A14" s="22"/>
      <c r="B14" s="22"/>
      <c r="C14" s="22"/>
    </row>
    <row r="15" spans="1:10">
      <c r="A15" s="22"/>
      <c r="B15" s="22"/>
      <c r="C15" s="22"/>
    </row>
    <row r="16" spans="1:10">
      <c r="A16" s="22"/>
      <c r="B16" s="22"/>
      <c r="C16" s="22"/>
    </row>
    <row r="17" spans="1:3">
      <c r="A17" s="22"/>
      <c r="B17" s="22"/>
      <c r="C17" s="22"/>
    </row>
    <row r="18" spans="1:3">
      <c r="A18" s="22"/>
      <c r="B18" s="22"/>
      <c r="C18" s="22"/>
    </row>
    <row r="19" spans="1:3">
      <c r="A19" s="22"/>
      <c r="B19" s="22"/>
      <c r="C19" s="22"/>
    </row>
    <row r="20" spans="1:3">
      <c r="A20" s="22"/>
      <c r="B20" s="22"/>
      <c r="C20" s="22"/>
    </row>
  </sheetData>
  <mergeCells count="5">
    <mergeCell ref="A13:C20"/>
    <mergeCell ref="A12:C12"/>
    <mergeCell ref="A1:D1"/>
    <mergeCell ref="G5:H5"/>
    <mergeCell ref="E6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BB8E-6907-4820-8E33-A5D83C8A2C67}">
  <dimension ref="A1:O29"/>
  <sheetViews>
    <sheetView zoomScaleNormal="100" workbookViewId="0">
      <selection activeCell="E21" sqref="E21:J29"/>
    </sheetView>
  </sheetViews>
  <sheetFormatPr defaultRowHeight="14.4"/>
  <cols>
    <col min="1" max="1" width="15" bestFit="1" customWidth="1"/>
    <col min="2" max="2" width="15.5546875" bestFit="1" customWidth="1"/>
    <col min="3" max="3" width="6.88671875" bestFit="1" customWidth="1"/>
    <col min="4" max="4" width="6.21875" bestFit="1" customWidth="1"/>
    <col min="5" max="6" width="10.77734375" bestFit="1" customWidth="1"/>
    <col min="9" max="10" width="15" bestFit="1" customWidth="1"/>
    <col min="11" max="11" width="15.5546875" bestFit="1" customWidth="1"/>
    <col min="12" max="12" width="8.6640625" bestFit="1" customWidth="1"/>
    <col min="13" max="14" width="10.77734375" bestFit="1" customWidth="1"/>
  </cols>
  <sheetData>
    <row r="1" spans="1:15">
      <c r="A1" s="50" t="s">
        <v>1517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3" spans="1:15">
      <c r="A3" s="30" t="s">
        <v>1518</v>
      </c>
      <c r="B3" s="58"/>
      <c r="C3" s="58"/>
      <c r="I3" s="30" t="s">
        <v>1519</v>
      </c>
      <c r="J3" s="58"/>
      <c r="K3" s="58"/>
      <c r="L3" s="58"/>
      <c r="M3" s="58"/>
      <c r="N3" s="58"/>
    </row>
    <row r="4" spans="1:15">
      <c r="A4" s="3" t="s">
        <v>1434</v>
      </c>
      <c r="B4" t="s">
        <v>1436</v>
      </c>
      <c r="I4" s="3" t="s">
        <v>1436</v>
      </c>
      <c r="J4" s="3" t="s">
        <v>1448</v>
      </c>
    </row>
    <row r="5" spans="1:15">
      <c r="A5" s="4" t="s">
        <v>17</v>
      </c>
      <c r="B5" s="5">
        <v>693</v>
      </c>
      <c r="I5" s="3" t="s">
        <v>1434</v>
      </c>
      <c r="J5" s="6" t="s">
        <v>19</v>
      </c>
      <c r="K5" s="6" t="s">
        <v>24</v>
      </c>
      <c r="L5" s="6" t="s">
        <v>34</v>
      </c>
      <c r="M5" s="6" t="s">
        <v>1435</v>
      </c>
    </row>
    <row r="6" spans="1:15">
      <c r="A6" s="4" t="s">
        <v>723</v>
      </c>
      <c r="B6" s="5">
        <v>715</v>
      </c>
      <c r="I6" s="4" t="s">
        <v>17</v>
      </c>
      <c r="J6" s="8">
        <v>200</v>
      </c>
      <c r="K6" s="8">
        <v>428</v>
      </c>
      <c r="L6" s="8">
        <v>56</v>
      </c>
      <c r="M6" s="8">
        <v>684</v>
      </c>
    </row>
    <row r="7" spans="1:15">
      <c r="A7" s="67" t="s">
        <v>1435</v>
      </c>
      <c r="B7" s="68">
        <v>1408</v>
      </c>
      <c r="I7" s="4" t="s">
        <v>723</v>
      </c>
      <c r="J7" s="8">
        <v>214</v>
      </c>
      <c r="K7" s="8">
        <v>436</v>
      </c>
      <c r="L7" s="8">
        <v>56</v>
      </c>
      <c r="M7" s="8">
        <v>706</v>
      </c>
    </row>
    <row r="8" spans="1:15">
      <c r="I8" s="67" t="s">
        <v>1435</v>
      </c>
      <c r="J8" s="69">
        <v>414</v>
      </c>
      <c r="K8" s="69">
        <v>864</v>
      </c>
      <c r="L8" s="69">
        <v>112</v>
      </c>
      <c r="M8" s="69">
        <v>1390</v>
      </c>
    </row>
    <row r="12" spans="1:15">
      <c r="A12" s="30" t="s">
        <v>1520</v>
      </c>
      <c r="B12" s="58"/>
      <c r="C12" s="58"/>
      <c r="D12" s="58"/>
      <c r="E12" s="58"/>
      <c r="F12" s="58"/>
      <c r="I12" s="30" t="s">
        <v>1521</v>
      </c>
      <c r="J12" s="66"/>
      <c r="K12" s="66"/>
      <c r="L12" s="66"/>
      <c r="M12" s="66"/>
    </row>
    <row r="13" spans="1:15">
      <c r="A13" s="3" t="s">
        <v>1436</v>
      </c>
      <c r="B13" s="3" t="s">
        <v>1448</v>
      </c>
      <c r="I13" s="3" t="s">
        <v>1436</v>
      </c>
      <c r="J13" s="3" t="s">
        <v>1448</v>
      </c>
    </row>
    <row r="14" spans="1:15">
      <c r="A14" s="3" t="s">
        <v>1434</v>
      </c>
      <c r="B14" s="6" t="s">
        <v>28</v>
      </c>
      <c r="C14" s="6" t="s">
        <v>18</v>
      </c>
      <c r="D14" s="6" t="s">
        <v>32</v>
      </c>
      <c r="E14" s="6" t="s">
        <v>23</v>
      </c>
      <c r="F14" s="6" t="s">
        <v>1435</v>
      </c>
      <c r="I14" s="3" t="s">
        <v>1434</v>
      </c>
      <c r="J14" t="s">
        <v>21</v>
      </c>
      <c r="K14" t="s">
        <v>26</v>
      </c>
      <c r="L14" t="s">
        <v>30</v>
      </c>
      <c r="M14" t="s">
        <v>1435</v>
      </c>
    </row>
    <row r="15" spans="1:15">
      <c r="A15" s="4" t="s">
        <v>17</v>
      </c>
      <c r="B15" s="8">
        <v>158</v>
      </c>
      <c r="C15" s="8">
        <v>203</v>
      </c>
      <c r="D15" s="8">
        <v>184</v>
      </c>
      <c r="E15" s="8">
        <v>148</v>
      </c>
      <c r="F15" s="8">
        <v>693</v>
      </c>
      <c r="I15" s="4" t="s">
        <v>17</v>
      </c>
      <c r="J15" s="5">
        <v>223</v>
      </c>
      <c r="K15" s="5">
        <v>361</v>
      </c>
      <c r="L15" s="5">
        <v>109</v>
      </c>
      <c r="M15" s="5">
        <v>693</v>
      </c>
    </row>
    <row r="16" spans="1:15">
      <c r="A16" s="4" t="s">
        <v>723</v>
      </c>
      <c r="B16" s="8">
        <v>172</v>
      </c>
      <c r="C16" s="8">
        <v>180</v>
      </c>
      <c r="D16" s="8">
        <v>184</v>
      </c>
      <c r="E16" s="8">
        <v>179</v>
      </c>
      <c r="F16" s="8">
        <v>715</v>
      </c>
      <c r="I16" s="4" t="s">
        <v>723</v>
      </c>
      <c r="J16" s="5">
        <v>235</v>
      </c>
      <c r="K16" s="5">
        <v>368</v>
      </c>
      <c r="L16" s="5">
        <v>112</v>
      </c>
      <c r="M16" s="5">
        <v>715</v>
      </c>
    </row>
    <row r="17" spans="1:13">
      <c r="A17" s="67" t="s">
        <v>1435</v>
      </c>
      <c r="B17" s="69">
        <v>330</v>
      </c>
      <c r="C17" s="69">
        <v>383</v>
      </c>
      <c r="D17" s="69">
        <v>368</v>
      </c>
      <c r="E17" s="69">
        <v>327</v>
      </c>
      <c r="F17" s="69">
        <v>1408</v>
      </c>
      <c r="I17" s="67" t="s">
        <v>1435</v>
      </c>
      <c r="J17" s="68">
        <v>458</v>
      </c>
      <c r="K17" s="68">
        <v>729</v>
      </c>
      <c r="L17" s="68">
        <v>221</v>
      </c>
      <c r="M17" s="68">
        <v>1408</v>
      </c>
    </row>
    <row r="19" spans="1:13" ht="15" thickBot="1"/>
    <row r="20" spans="1:13" ht="15" thickBot="1">
      <c r="G20" s="39" t="s">
        <v>1463</v>
      </c>
      <c r="H20" s="43"/>
    </row>
    <row r="21" spans="1:13">
      <c r="E21" s="41" t="s">
        <v>1522</v>
      </c>
      <c r="F21" s="70"/>
      <c r="G21" s="70"/>
      <c r="H21" s="70"/>
      <c r="I21" s="70"/>
      <c r="J21" s="71"/>
    </row>
    <row r="22" spans="1:13">
      <c r="E22" s="72"/>
      <c r="F22" s="73"/>
      <c r="G22" s="73"/>
      <c r="H22" s="73"/>
      <c r="I22" s="73"/>
      <c r="J22" s="74"/>
    </row>
    <row r="23" spans="1:13">
      <c r="E23" s="72"/>
      <c r="F23" s="73"/>
      <c r="G23" s="73"/>
      <c r="H23" s="73"/>
      <c r="I23" s="73"/>
      <c r="J23" s="74"/>
    </row>
    <row r="24" spans="1:13">
      <c r="E24" s="72"/>
      <c r="F24" s="73"/>
      <c r="G24" s="73"/>
      <c r="H24" s="73"/>
      <c r="I24" s="73"/>
      <c r="J24" s="74"/>
    </row>
    <row r="25" spans="1:13">
      <c r="E25" s="72"/>
      <c r="F25" s="73"/>
      <c r="G25" s="73"/>
      <c r="H25" s="73"/>
      <c r="I25" s="73"/>
      <c r="J25" s="74"/>
    </row>
    <row r="26" spans="1:13">
      <c r="E26" s="72"/>
      <c r="F26" s="73"/>
      <c r="G26" s="73"/>
      <c r="H26" s="73"/>
      <c r="I26" s="73"/>
      <c r="J26" s="74"/>
    </row>
    <row r="27" spans="1:13">
      <c r="E27" s="72"/>
      <c r="F27" s="73"/>
      <c r="G27" s="73"/>
      <c r="H27" s="73"/>
      <c r="I27" s="73"/>
      <c r="J27" s="74"/>
    </row>
    <row r="28" spans="1:13">
      <c r="E28" s="72"/>
      <c r="F28" s="73"/>
      <c r="G28" s="73"/>
      <c r="H28" s="73"/>
      <c r="I28" s="73"/>
      <c r="J28" s="74"/>
    </row>
    <row r="29" spans="1:13" ht="15" thickBot="1">
      <c r="E29" s="75"/>
      <c r="F29" s="76"/>
      <c r="G29" s="76"/>
      <c r="H29" s="76"/>
      <c r="I29" s="76"/>
      <c r="J29" s="77"/>
    </row>
  </sheetData>
  <mergeCells count="7">
    <mergeCell ref="E21:J29"/>
    <mergeCell ref="A1:O1"/>
    <mergeCell ref="A3:C3"/>
    <mergeCell ref="I3:N3"/>
    <mergeCell ref="A12:F12"/>
    <mergeCell ref="I12:M12"/>
    <mergeCell ref="G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B803-7032-4BFF-9B9D-5845C1705FB1}">
  <sheetPr filterMode="1"/>
  <dimension ref="A1:U1409"/>
  <sheetViews>
    <sheetView topLeftCell="B1" zoomScale="70" zoomScaleNormal="70" workbookViewId="0">
      <pane ySplit="1" topLeftCell="A2" activePane="bottomLeft" state="frozen"/>
      <selection activeCell="E1" sqref="E1"/>
      <selection pane="bottomLeft" activeCell="R3" sqref="R3"/>
    </sheetView>
  </sheetViews>
  <sheetFormatPr defaultRowHeight="14.4"/>
  <cols>
    <col min="2" max="2" width="11.33203125" bestFit="1" customWidth="1"/>
    <col min="18" max="18" width="8.5546875" bestFit="1" customWidth="1"/>
  </cols>
  <sheetData>
    <row r="1" spans="1:18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1433</v>
      </c>
      <c r="R1" s="1" t="s">
        <v>1475</v>
      </c>
    </row>
    <row r="2" spans="1:18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>COUNTIF(A:A,A2)</f>
        <v>1</v>
      </c>
      <c r="R2">
        <f>COUNTIFS(Cleaned_Data!C:C,"Control",Cleaned_Data!N:N,1)</f>
        <v>0</v>
      </c>
    </row>
    <row r="3" spans="1:18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 t="shared" ref="Q3:Q66" si="0">COUNTIF(A:A,A3)</f>
        <v>1</v>
      </c>
      <c r="R3">
        <f>COUNTIFS(Cleaned_Data!C:C,"Treatment",Cleaned_Data!N:N,1)</f>
        <v>3</v>
      </c>
    </row>
    <row r="4" spans="1:18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 t="shared" si="0"/>
        <v>1</v>
      </c>
    </row>
    <row r="5" spans="1:18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 t="shared" si="0"/>
        <v>1</v>
      </c>
    </row>
    <row r="6" spans="1:18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 t="shared" si="0"/>
        <v>1</v>
      </c>
    </row>
    <row r="7" spans="1:18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 t="shared" si="0"/>
        <v>1</v>
      </c>
    </row>
    <row r="8" spans="1:18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 t="shared" si="0"/>
        <v>1</v>
      </c>
    </row>
    <row r="9" spans="1:18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 t="shared" si="0"/>
        <v>1</v>
      </c>
    </row>
    <row r="10" spans="1:18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 t="shared" si="0"/>
        <v>1</v>
      </c>
    </row>
    <row r="11" spans="1:18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 t="shared" si="0"/>
        <v>1</v>
      </c>
    </row>
    <row r="12" spans="1:18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 t="shared" si="0"/>
        <v>1</v>
      </c>
    </row>
    <row r="13" spans="1:18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 t="shared" si="0"/>
        <v>1</v>
      </c>
    </row>
    <row r="14" spans="1:18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 t="shared" si="0"/>
        <v>1</v>
      </c>
    </row>
    <row r="15" spans="1:18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 t="shared" si="0"/>
        <v>1</v>
      </c>
    </row>
    <row r="16" spans="1:18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 t="shared" si="0"/>
        <v>1</v>
      </c>
    </row>
    <row r="17" spans="1:17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 t="shared" si="0"/>
        <v>1</v>
      </c>
    </row>
    <row r="18" spans="1:17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 t="shared" si="0"/>
        <v>1</v>
      </c>
    </row>
    <row r="19" spans="1:17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 t="shared" si="0"/>
        <v>1</v>
      </c>
    </row>
    <row r="20" spans="1:17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 t="shared" si="0"/>
        <v>1</v>
      </c>
    </row>
    <row r="21" spans="1:17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 t="shared" si="0"/>
        <v>1</v>
      </c>
    </row>
    <row r="22" spans="1:17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 t="shared" si="0"/>
        <v>1</v>
      </c>
    </row>
    <row r="23" spans="1:17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 t="shared" si="0"/>
        <v>1</v>
      </c>
    </row>
    <row r="24" spans="1:17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 t="shared" si="0"/>
        <v>1</v>
      </c>
    </row>
    <row r="25" spans="1:17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 t="shared" si="0"/>
        <v>1</v>
      </c>
    </row>
    <row r="26" spans="1:17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 t="shared" si="0"/>
        <v>1</v>
      </c>
    </row>
    <row r="27" spans="1:17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 t="shared" si="0"/>
        <v>1</v>
      </c>
    </row>
    <row r="28" spans="1:17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 t="shared" si="0"/>
        <v>1</v>
      </c>
    </row>
    <row r="29" spans="1:17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 t="shared" si="0"/>
        <v>1</v>
      </c>
    </row>
    <row r="30" spans="1:17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 t="shared" si="0"/>
        <v>1</v>
      </c>
    </row>
    <row r="31" spans="1:17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 t="shared" si="0"/>
        <v>1</v>
      </c>
    </row>
    <row r="32" spans="1:17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 t="shared" si="0"/>
        <v>1</v>
      </c>
    </row>
    <row r="33" spans="1:17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 t="shared" si="0"/>
        <v>1</v>
      </c>
    </row>
    <row r="34" spans="1:17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 t="shared" si="0"/>
        <v>1</v>
      </c>
    </row>
    <row r="35" spans="1:17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 t="shared" si="0"/>
        <v>1</v>
      </c>
    </row>
    <row r="36" spans="1:17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 t="shared" si="0"/>
        <v>1</v>
      </c>
    </row>
    <row r="37" spans="1:17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 t="shared" si="0"/>
        <v>1</v>
      </c>
    </row>
    <row r="38" spans="1:17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 t="shared" si="0"/>
        <v>1</v>
      </c>
    </row>
    <row r="39" spans="1:17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 t="shared" si="0"/>
        <v>1</v>
      </c>
    </row>
    <row r="40" spans="1:17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 t="shared" si="0"/>
        <v>1</v>
      </c>
    </row>
    <row r="41" spans="1:17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 t="shared" si="0"/>
        <v>1</v>
      </c>
    </row>
    <row r="42" spans="1:17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 t="shared" si="0"/>
        <v>1</v>
      </c>
    </row>
    <row r="43" spans="1:17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 t="shared" si="0"/>
        <v>1</v>
      </c>
    </row>
    <row r="44" spans="1:17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 t="shared" si="0"/>
        <v>1</v>
      </c>
    </row>
    <row r="45" spans="1:17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 t="shared" si="0"/>
        <v>1</v>
      </c>
    </row>
    <row r="46" spans="1:17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 t="shared" si="0"/>
        <v>1</v>
      </c>
    </row>
    <row r="47" spans="1:17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 t="shared" si="0"/>
        <v>1</v>
      </c>
    </row>
    <row r="48" spans="1:17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 t="shared" si="0"/>
        <v>1</v>
      </c>
    </row>
    <row r="49" spans="1:17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 t="shared" si="0"/>
        <v>1</v>
      </c>
    </row>
    <row r="50" spans="1:17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 t="shared" si="0"/>
        <v>1</v>
      </c>
    </row>
    <row r="51" spans="1:17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 t="shared" si="0"/>
        <v>1</v>
      </c>
    </row>
    <row r="52" spans="1:17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 t="shared" si="0"/>
        <v>1</v>
      </c>
    </row>
    <row r="53" spans="1:17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 t="shared" si="0"/>
        <v>1</v>
      </c>
    </row>
    <row r="54" spans="1:17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 t="shared" si="0"/>
        <v>1</v>
      </c>
    </row>
    <row r="55" spans="1:17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 t="shared" si="0"/>
        <v>1</v>
      </c>
    </row>
    <row r="56" spans="1:17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 t="shared" si="0"/>
        <v>1</v>
      </c>
    </row>
    <row r="57" spans="1:17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 t="shared" si="0"/>
        <v>1</v>
      </c>
    </row>
    <row r="58" spans="1:17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 t="shared" si="0"/>
        <v>1</v>
      </c>
    </row>
    <row r="59" spans="1:17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 t="shared" si="0"/>
        <v>1</v>
      </c>
    </row>
    <row r="60" spans="1:17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 t="shared" si="0"/>
        <v>1</v>
      </c>
    </row>
    <row r="61" spans="1:17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 t="shared" si="0"/>
        <v>1</v>
      </c>
    </row>
    <row r="62" spans="1:17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 t="shared" si="0"/>
        <v>1</v>
      </c>
    </row>
    <row r="63" spans="1:17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 t="shared" si="0"/>
        <v>1</v>
      </c>
    </row>
    <row r="64" spans="1:17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 t="shared" si="0"/>
        <v>1</v>
      </c>
    </row>
    <row r="65" spans="1:17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 t="shared" si="0"/>
        <v>1</v>
      </c>
    </row>
    <row r="66" spans="1:17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 t="shared" si="0"/>
        <v>1</v>
      </c>
    </row>
    <row r="67" spans="1:17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 t="shared" ref="Q67:Q130" si="1">COUNTIF(A:A,A67)</f>
        <v>1</v>
      </c>
    </row>
    <row r="68" spans="1:17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 t="shared" si="1"/>
        <v>1</v>
      </c>
    </row>
    <row r="69" spans="1:17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 t="shared" si="1"/>
        <v>1</v>
      </c>
    </row>
    <row r="70" spans="1:17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 t="shared" si="1"/>
        <v>1</v>
      </c>
    </row>
    <row r="71" spans="1:17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 t="shared" si="1"/>
        <v>1</v>
      </c>
    </row>
    <row r="72" spans="1:17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 t="shared" si="1"/>
        <v>1</v>
      </c>
    </row>
    <row r="73" spans="1:17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 t="shared" si="1"/>
        <v>1</v>
      </c>
    </row>
    <row r="74" spans="1:17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 t="shared" si="1"/>
        <v>1</v>
      </c>
    </row>
    <row r="75" spans="1:17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 t="shared" si="1"/>
        <v>1</v>
      </c>
    </row>
    <row r="76" spans="1:17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 t="shared" si="1"/>
        <v>1</v>
      </c>
    </row>
    <row r="77" spans="1:17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 t="shared" si="1"/>
        <v>1</v>
      </c>
    </row>
    <row r="78" spans="1:17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 t="shared" si="1"/>
        <v>1</v>
      </c>
    </row>
    <row r="79" spans="1:17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 t="shared" si="1"/>
        <v>1</v>
      </c>
    </row>
    <row r="80" spans="1:17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 t="shared" si="1"/>
        <v>1</v>
      </c>
    </row>
    <row r="81" spans="1:17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 t="shared" si="1"/>
        <v>1</v>
      </c>
    </row>
    <row r="82" spans="1:17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 t="shared" si="1"/>
        <v>1</v>
      </c>
    </row>
    <row r="83" spans="1:17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 t="shared" si="1"/>
        <v>1</v>
      </c>
    </row>
    <row r="84" spans="1:17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 t="shared" si="1"/>
        <v>1</v>
      </c>
    </row>
    <row r="85" spans="1:17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 t="shared" si="1"/>
        <v>1</v>
      </c>
    </row>
    <row r="86" spans="1:17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 t="shared" si="1"/>
        <v>1</v>
      </c>
    </row>
    <row r="87" spans="1:17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 t="shared" si="1"/>
        <v>1</v>
      </c>
    </row>
    <row r="88" spans="1:17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 t="shared" si="1"/>
        <v>1</v>
      </c>
    </row>
    <row r="89" spans="1:17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 t="shared" si="1"/>
        <v>1</v>
      </c>
    </row>
    <row r="90" spans="1:17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 t="shared" si="1"/>
        <v>1</v>
      </c>
    </row>
    <row r="91" spans="1:17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 t="shared" si="1"/>
        <v>1</v>
      </c>
    </row>
    <row r="92" spans="1:17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 t="shared" si="1"/>
        <v>1</v>
      </c>
    </row>
    <row r="93" spans="1:17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 t="shared" si="1"/>
        <v>1</v>
      </c>
    </row>
    <row r="94" spans="1:17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 t="shared" si="1"/>
        <v>1</v>
      </c>
    </row>
    <row r="95" spans="1:17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 t="shared" si="1"/>
        <v>1</v>
      </c>
    </row>
    <row r="96" spans="1:17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 t="shared" si="1"/>
        <v>1</v>
      </c>
    </row>
    <row r="97" spans="1:17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 t="shared" si="1"/>
        <v>2</v>
      </c>
    </row>
    <row r="98" spans="1:17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 t="shared" si="1"/>
        <v>1</v>
      </c>
    </row>
    <row r="99" spans="1:17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 t="shared" si="1"/>
        <v>1</v>
      </c>
    </row>
    <row r="100" spans="1:17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 t="shared" si="1"/>
        <v>1</v>
      </c>
    </row>
    <row r="101" spans="1:17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 t="shared" si="1"/>
        <v>1</v>
      </c>
    </row>
    <row r="102" spans="1:17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 t="shared" si="1"/>
        <v>1</v>
      </c>
    </row>
    <row r="103" spans="1:17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 t="shared" si="1"/>
        <v>1</v>
      </c>
    </row>
    <row r="104" spans="1:17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 t="shared" si="1"/>
        <v>1</v>
      </c>
    </row>
    <row r="105" spans="1:17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 t="shared" si="1"/>
        <v>1</v>
      </c>
    </row>
    <row r="106" spans="1:17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 t="shared" si="1"/>
        <v>1</v>
      </c>
    </row>
    <row r="107" spans="1:17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 t="shared" si="1"/>
        <v>1</v>
      </c>
    </row>
    <row r="108" spans="1:17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 t="shared" si="1"/>
        <v>1</v>
      </c>
    </row>
    <row r="109" spans="1:17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 t="shared" si="1"/>
        <v>1</v>
      </c>
    </row>
    <row r="110" spans="1:17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 t="shared" si="1"/>
        <v>1</v>
      </c>
    </row>
    <row r="111" spans="1:17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 t="shared" si="1"/>
        <v>1</v>
      </c>
    </row>
    <row r="112" spans="1:17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 t="shared" si="1"/>
        <v>1</v>
      </c>
    </row>
    <row r="113" spans="1:17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 t="shared" si="1"/>
        <v>1</v>
      </c>
    </row>
    <row r="114" spans="1:17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 t="shared" si="1"/>
        <v>1</v>
      </c>
    </row>
    <row r="115" spans="1:17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 t="shared" si="1"/>
        <v>1</v>
      </c>
    </row>
    <row r="116" spans="1:17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 t="shared" si="1"/>
        <v>1</v>
      </c>
    </row>
    <row r="117" spans="1:17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 t="shared" si="1"/>
        <v>1</v>
      </c>
    </row>
    <row r="118" spans="1:17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 t="shared" si="1"/>
        <v>1</v>
      </c>
    </row>
    <row r="119" spans="1:17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 t="shared" si="1"/>
        <v>1</v>
      </c>
    </row>
    <row r="120" spans="1:17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 t="shared" si="1"/>
        <v>1</v>
      </c>
    </row>
    <row r="121" spans="1:17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 t="shared" si="1"/>
        <v>1</v>
      </c>
    </row>
    <row r="122" spans="1:17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 t="shared" si="1"/>
        <v>1</v>
      </c>
    </row>
    <row r="123" spans="1:17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 t="shared" si="1"/>
        <v>1</v>
      </c>
    </row>
    <row r="124" spans="1:17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 t="shared" si="1"/>
        <v>1</v>
      </c>
    </row>
    <row r="125" spans="1:17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 t="shared" si="1"/>
        <v>1</v>
      </c>
    </row>
    <row r="126" spans="1:17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 t="shared" si="1"/>
        <v>1</v>
      </c>
    </row>
    <row r="127" spans="1:17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 t="shared" si="1"/>
        <v>1</v>
      </c>
    </row>
    <row r="128" spans="1:17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 t="shared" si="1"/>
        <v>1</v>
      </c>
    </row>
    <row r="129" spans="1:17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 t="shared" si="1"/>
        <v>1</v>
      </c>
    </row>
    <row r="130" spans="1:17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 t="shared" si="1"/>
        <v>1</v>
      </c>
    </row>
    <row r="131" spans="1:17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 t="shared" ref="Q131:Q194" si="2">COUNTIF(A:A,A131)</f>
        <v>1</v>
      </c>
    </row>
    <row r="132" spans="1:17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 t="shared" si="2"/>
        <v>1</v>
      </c>
    </row>
    <row r="133" spans="1:17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 t="shared" si="2"/>
        <v>1</v>
      </c>
    </row>
    <row r="134" spans="1:17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 t="shared" si="2"/>
        <v>1</v>
      </c>
    </row>
    <row r="135" spans="1:17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 t="shared" si="2"/>
        <v>1</v>
      </c>
    </row>
    <row r="136" spans="1:17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 t="shared" si="2"/>
        <v>1</v>
      </c>
    </row>
    <row r="137" spans="1:17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 t="shared" si="2"/>
        <v>1</v>
      </c>
    </row>
    <row r="138" spans="1:17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 t="shared" si="2"/>
        <v>1</v>
      </c>
    </row>
    <row r="139" spans="1:17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 t="shared" si="2"/>
        <v>1</v>
      </c>
    </row>
    <row r="140" spans="1:17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 t="shared" si="2"/>
        <v>1</v>
      </c>
    </row>
    <row r="141" spans="1:17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 t="shared" si="2"/>
        <v>1</v>
      </c>
    </row>
    <row r="142" spans="1:17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 t="shared" si="2"/>
        <v>1</v>
      </c>
    </row>
    <row r="143" spans="1:17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 t="shared" si="2"/>
        <v>1</v>
      </c>
    </row>
    <row r="144" spans="1:17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 t="shared" si="2"/>
        <v>1</v>
      </c>
    </row>
    <row r="145" spans="1:17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 t="shared" si="2"/>
        <v>1</v>
      </c>
    </row>
    <row r="146" spans="1:17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 t="shared" si="2"/>
        <v>1</v>
      </c>
    </row>
    <row r="147" spans="1:17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 t="shared" si="2"/>
        <v>1</v>
      </c>
    </row>
    <row r="148" spans="1:17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 t="shared" si="2"/>
        <v>1</v>
      </c>
    </row>
    <row r="149" spans="1:17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 t="shared" si="2"/>
        <v>1</v>
      </c>
    </row>
    <row r="150" spans="1:17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 t="shared" si="2"/>
        <v>1</v>
      </c>
    </row>
    <row r="151" spans="1:17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 t="shared" si="2"/>
        <v>1</v>
      </c>
    </row>
    <row r="152" spans="1:17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 t="shared" si="2"/>
        <v>1</v>
      </c>
    </row>
    <row r="153" spans="1:17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 t="shared" si="2"/>
        <v>1</v>
      </c>
    </row>
    <row r="154" spans="1:17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 t="shared" si="2"/>
        <v>1</v>
      </c>
    </row>
    <row r="155" spans="1:17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 t="shared" si="2"/>
        <v>1</v>
      </c>
    </row>
    <row r="156" spans="1:17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 t="shared" si="2"/>
        <v>1</v>
      </c>
    </row>
    <row r="157" spans="1:17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 t="shared" si="2"/>
        <v>1</v>
      </c>
    </row>
    <row r="158" spans="1:17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 t="shared" si="2"/>
        <v>1</v>
      </c>
    </row>
    <row r="159" spans="1:17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 t="shared" si="2"/>
        <v>1</v>
      </c>
    </row>
    <row r="160" spans="1:17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 t="shared" si="2"/>
        <v>1</v>
      </c>
    </row>
    <row r="161" spans="1:17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 t="shared" si="2"/>
        <v>1</v>
      </c>
    </row>
    <row r="162" spans="1:17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 t="shared" si="2"/>
        <v>1</v>
      </c>
    </row>
    <row r="163" spans="1:17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 t="shared" si="2"/>
        <v>1</v>
      </c>
    </row>
    <row r="164" spans="1:17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 t="shared" si="2"/>
        <v>1</v>
      </c>
    </row>
    <row r="165" spans="1:17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 t="shared" si="2"/>
        <v>1</v>
      </c>
    </row>
    <row r="166" spans="1:17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 t="shared" si="2"/>
        <v>1</v>
      </c>
    </row>
    <row r="167" spans="1:17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 t="shared" si="2"/>
        <v>1</v>
      </c>
    </row>
    <row r="168" spans="1:17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 t="shared" si="2"/>
        <v>1</v>
      </c>
    </row>
    <row r="169" spans="1:17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 t="shared" si="2"/>
        <v>1</v>
      </c>
    </row>
    <row r="170" spans="1:17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 t="shared" si="2"/>
        <v>1</v>
      </c>
    </row>
    <row r="171" spans="1:17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 t="shared" si="2"/>
        <v>1</v>
      </c>
    </row>
    <row r="172" spans="1:17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 t="shared" si="2"/>
        <v>1</v>
      </c>
    </row>
    <row r="173" spans="1:17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 t="shared" si="2"/>
        <v>1</v>
      </c>
    </row>
    <row r="174" spans="1:17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 t="shared" si="2"/>
        <v>1</v>
      </c>
    </row>
    <row r="175" spans="1:17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 t="shared" si="2"/>
        <v>1</v>
      </c>
    </row>
    <row r="176" spans="1:17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 t="shared" si="2"/>
        <v>1</v>
      </c>
    </row>
    <row r="177" spans="1:17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 t="shared" si="2"/>
        <v>1</v>
      </c>
    </row>
    <row r="178" spans="1:17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 t="shared" si="2"/>
        <v>1</v>
      </c>
    </row>
    <row r="179" spans="1:17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 t="shared" si="2"/>
        <v>1</v>
      </c>
    </row>
    <row r="180" spans="1:17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 t="shared" si="2"/>
        <v>1</v>
      </c>
    </row>
    <row r="181" spans="1:17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 t="shared" si="2"/>
        <v>1</v>
      </c>
    </row>
    <row r="182" spans="1:17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 t="shared" si="2"/>
        <v>1</v>
      </c>
    </row>
    <row r="183" spans="1:17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 t="shared" si="2"/>
        <v>1</v>
      </c>
    </row>
    <row r="184" spans="1:17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 t="shared" si="2"/>
        <v>1</v>
      </c>
    </row>
    <row r="185" spans="1:17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 t="shared" si="2"/>
        <v>1</v>
      </c>
    </row>
    <row r="186" spans="1:17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 t="shared" si="2"/>
        <v>1</v>
      </c>
    </row>
    <row r="187" spans="1:17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 t="shared" si="2"/>
        <v>1</v>
      </c>
    </row>
    <row r="188" spans="1:17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 t="shared" si="2"/>
        <v>1</v>
      </c>
    </row>
    <row r="189" spans="1:17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 t="shared" si="2"/>
        <v>1</v>
      </c>
    </row>
    <row r="190" spans="1:17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 t="shared" si="2"/>
        <v>1</v>
      </c>
    </row>
    <row r="191" spans="1:17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 t="shared" si="2"/>
        <v>1</v>
      </c>
    </row>
    <row r="192" spans="1:17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 t="shared" si="2"/>
        <v>1</v>
      </c>
    </row>
    <row r="193" spans="1:17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 t="shared" si="2"/>
        <v>1</v>
      </c>
    </row>
    <row r="194" spans="1:17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 t="shared" si="2"/>
        <v>1</v>
      </c>
    </row>
    <row r="195" spans="1:17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 t="shared" ref="Q195:Q258" si="3">COUNTIF(A:A,A195)</f>
        <v>1</v>
      </c>
    </row>
    <row r="196" spans="1:17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 t="shared" si="3"/>
        <v>1</v>
      </c>
    </row>
    <row r="197" spans="1:17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 t="shared" si="3"/>
        <v>1</v>
      </c>
    </row>
    <row r="198" spans="1:17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 t="shared" si="3"/>
        <v>1</v>
      </c>
    </row>
    <row r="199" spans="1:17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 t="shared" si="3"/>
        <v>1</v>
      </c>
    </row>
    <row r="200" spans="1:17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 t="shared" si="3"/>
        <v>1</v>
      </c>
    </row>
    <row r="201" spans="1:17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 t="shared" si="3"/>
        <v>1</v>
      </c>
    </row>
    <row r="202" spans="1:17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 t="shared" si="3"/>
        <v>1</v>
      </c>
    </row>
    <row r="203" spans="1:17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 t="shared" si="3"/>
        <v>1</v>
      </c>
    </row>
    <row r="204" spans="1:17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 t="shared" si="3"/>
        <v>1</v>
      </c>
    </row>
    <row r="205" spans="1:17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 t="shared" si="3"/>
        <v>1</v>
      </c>
    </row>
    <row r="206" spans="1:17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 t="shared" si="3"/>
        <v>1</v>
      </c>
    </row>
    <row r="207" spans="1:17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 t="shared" si="3"/>
        <v>1</v>
      </c>
    </row>
    <row r="208" spans="1:17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 t="shared" si="3"/>
        <v>1</v>
      </c>
    </row>
    <row r="209" spans="1:17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 t="shared" si="3"/>
        <v>1</v>
      </c>
    </row>
    <row r="210" spans="1:17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 t="shared" si="3"/>
        <v>1</v>
      </c>
    </row>
    <row r="211" spans="1:17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 t="shared" si="3"/>
        <v>1</v>
      </c>
    </row>
    <row r="212" spans="1:17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 t="shared" si="3"/>
        <v>1</v>
      </c>
    </row>
    <row r="213" spans="1:17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 t="shared" si="3"/>
        <v>1</v>
      </c>
    </row>
    <row r="214" spans="1:17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 t="shared" si="3"/>
        <v>1</v>
      </c>
    </row>
    <row r="215" spans="1:17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 t="shared" si="3"/>
        <v>1</v>
      </c>
    </row>
    <row r="216" spans="1:17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 t="shared" si="3"/>
        <v>1</v>
      </c>
    </row>
    <row r="217" spans="1:17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 t="shared" si="3"/>
        <v>1</v>
      </c>
    </row>
    <row r="218" spans="1:17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 t="shared" si="3"/>
        <v>1</v>
      </c>
    </row>
    <row r="219" spans="1:17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 t="shared" si="3"/>
        <v>1</v>
      </c>
    </row>
    <row r="220" spans="1:17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 t="shared" si="3"/>
        <v>1</v>
      </c>
    </row>
    <row r="221" spans="1:17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 t="shared" si="3"/>
        <v>1</v>
      </c>
    </row>
    <row r="222" spans="1:17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 t="shared" si="3"/>
        <v>1</v>
      </c>
    </row>
    <row r="223" spans="1:17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 t="shared" si="3"/>
        <v>1</v>
      </c>
    </row>
    <row r="224" spans="1:17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 t="shared" si="3"/>
        <v>1</v>
      </c>
    </row>
    <row r="225" spans="1:17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 t="shared" si="3"/>
        <v>1</v>
      </c>
    </row>
    <row r="226" spans="1:17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 t="shared" si="3"/>
        <v>1</v>
      </c>
    </row>
    <row r="227" spans="1:17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 t="shared" si="3"/>
        <v>1</v>
      </c>
    </row>
    <row r="228" spans="1:17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 t="shared" si="3"/>
        <v>1</v>
      </c>
    </row>
    <row r="229" spans="1:17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 t="shared" si="3"/>
        <v>1</v>
      </c>
    </row>
    <row r="230" spans="1:17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 t="shared" si="3"/>
        <v>1</v>
      </c>
    </row>
    <row r="231" spans="1:17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 t="shared" si="3"/>
        <v>1</v>
      </c>
    </row>
    <row r="232" spans="1:17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 t="shared" si="3"/>
        <v>1</v>
      </c>
    </row>
    <row r="233" spans="1:17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 t="shared" si="3"/>
        <v>1</v>
      </c>
    </row>
    <row r="234" spans="1:17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 t="shared" si="3"/>
        <v>1</v>
      </c>
    </row>
    <row r="235" spans="1:17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 t="shared" si="3"/>
        <v>1</v>
      </c>
    </row>
    <row r="236" spans="1:17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 t="shared" si="3"/>
        <v>1</v>
      </c>
    </row>
    <row r="237" spans="1:17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 t="shared" si="3"/>
        <v>1</v>
      </c>
    </row>
    <row r="238" spans="1:17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 t="shared" si="3"/>
        <v>1</v>
      </c>
    </row>
    <row r="239" spans="1:17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 t="shared" si="3"/>
        <v>1</v>
      </c>
    </row>
    <row r="240" spans="1:17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 t="shared" si="3"/>
        <v>1</v>
      </c>
    </row>
    <row r="241" spans="1:17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 t="shared" si="3"/>
        <v>1</v>
      </c>
    </row>
    <row r="242" spans="1:17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 t="shared" si="3"/>
        <v>1</v>
      </c>
    </row>
    <row r="243" spans="1:17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 t="shared" si="3"/>
        <v>1</v>
      </c>
    </row>
    <row r="244" spans="1:17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 t="shared" si="3"/>
        <v>1</v>
      </c>
    </row>
    <row r="245" spans="1:17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 t="shared" si="3"/>
        <v>1</v>
      </c>
    </row>
    <row r="246" spans="1:17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 t="shared" si="3"/>
        <v>1</v>
      </c>
    </row>
    <row r="247" spans="1:17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 t="shared" si="3"/>
        <v>1</v>
      </c>
    </row>
    <row r="248" spans="1:17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 t="shared" si="3"/>
        <v>1</v>
      </c>
    </row>
    <row r="249" spans="1:17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 t="shared" si="3"/>
        <v>1</v>
      </c>
    </row>
    <row r="250" spans="1:17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 t="shared" si="3"/>
        <v>1</v>
      </c>
    </row>
    <row r="251" spans="1:17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 t="shared" si="3"/>
        <v>1</v>
      </c>
    </row>
    <row r="252" spans="1:17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 t="shared" si="3"/>
        <v>1</v>
      </c>
    </row>
    <row r="253" spans="1:17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 t="shared" si="3"/>
        <v>1</v>
      </c>
    </row>
    <row r="254" spans="1:17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 t="shared" si="3"/>
        <v>1</v>
      </c>
    </row>
    <row r="255" spans="1:17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 t="shared" si="3"/>
        <v>1</v>
      </c>
    </row>
    <row r="256" spans="1:17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 t="shared" si="3"/>
        <v>1</v>
      </c>
    </row>
    <row r="257" spans="1:17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 t="shared" si="3"/>
        <v>1</v>
      </c>
    </row>
    <row r="258" spans="1:17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 t="shared" si="3"/>
        <v>1</v>
      </c>
    </row>
    <row r="259" spans="1:17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 t="shared" ref="Q259:Q322" si="4">COUNTIF(A:A,A259)</f>
        <v>1</v>
      </c>
    </row>
    <row r="260" spans="1:17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 t="shared" si="4"/>
        <v>1</v>
      </c>
    </row>
    <row r="261" spans="1:17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 t="shared" si="4"/>
        <v>1</v>
      </c>
    </row>
    <row r="262" spans="1:17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 t="shared" si="4"/>
        <v>1</v>
      </c>
    </row>
    <row r="263" spans="1:17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 t="shared" si="4"/>
        <v>1</v>
      </c>
    </row>
    <row r="264" spans="1:17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 t="shared" si="4"/>
        <v>1</v>
      </c>
    </row>
    <row r="265" spans="1:17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 t="shared" si="4"/>
        <v>1</v>
      </c>
    </row>
    <row r="266" spans="1:17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 t="shared" si="4"/>
        <v>1</v>
      </c>
    </row>
    <row r="267" spans="1:17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 t="shared" si="4"/>
        <v>1</v>
      </c>
    </row>
    <row r="268" spans="1:17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 t="shared" si="4"/>
        <v>1</v>
      </c>
    </row>
    <row r="269" spans="1:17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 t="shared" si="4"/>
        <v>1</v>
      </c>
    </row>
    <row r="270" spans="1:17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 t="shared" si="4"/>
        <v>1</v>
      </c>
    </row>
    <row r="271" spans="1:17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 t="shared" si="4"/>
        <v>1</v>
      </c>
    </row>
    <row r="272" spans="1:17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 t="shared" si="4"/>
        <v>1</v>
      </c>
    </row>
    <row r="273" spans="1:17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 t="shared" si="4"/>
        <v>1</v>
      </c>
    </row>
    <row r="274" spans="1:17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 t="shared" si="4"/>
        <v>1</v>
      </c>
    </row>
    <row r="275" spans="1:17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 t="shared" si="4"/>
        <v>1</v>
      </c>
    </row>
    <row r="276" spans="1:17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 t="shared" si="4"/>
        <v>1</v>
      </c>
    </row>
    <row r="277" spans="1:17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 t="shared" si="4"/>
        <v>1</v>
      </c>
    </row>
    <row r="278" spans="1:17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 t="shared" si="4"/>
        <v>1</v>
      </c>
    </row>
    <row r="279" spans="1:17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 t="shared" si="4"/>
        <v>1</v>
      </c>
    </row>
    <row r="280" spans="1:17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 t="shared" si="4"/>
        <v>1</v>
      </c>
    </row>
    <row r="281" spans="1:17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 t="shared" si="4"/>
        <v>1</v>
      </c>
    </row>
    <row r="282" spans="1:17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 t="shared" si="4"/>
        <v>1</v>
      </c>
    </row>
    <row r="283" spans="1:17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 t="shared" si="4"/>
        <v>1</v>
      </c>
    </row>
    <row r="284" spans="1:17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 t="shared" si="4"/>
        <v>1</v>
      </c>
    </row>
    <row r="285" spans="1:17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 t="shared" si="4"/>
        <v>1</v>
      </c>
    </row>
    <row r="286" spans="1:17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 t="shared" si="4"/>
        <v>1</v>
      </c>
    </row>
    <row r="287" spans="1:17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 t="shared" si="4"/>
        <v>1</v>
      </c>
    </row>
    <row r="288" spans="1:17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 t="shared" si="4"/>
        <v>1</v>
      </c>
    </row>
    <row r="289" spans="1:17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 t="shared" si="4"/>
        <v>1</v>
      </c>
    </row>
    <row r="290" spans="1:17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 t="shared" si="4"/>
        <v>1</v>
      </c>
    </row>
    <row r="291" spans="1:17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 t="shared" si="4"/>
        <v>1</v>
      </c>
    </row>
    <row r="292" spans="1:17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 t="shared" si="4"/>
        <v>1</v>
      </c>
    </row>
    <row r="293" spans="1:17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 t="shared" si="4"/>
        <v>1</v>
      </c>
    </row>
    <row r="294" spans="1:17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 t="shared" si="4"/>
        <v>1</v>
      </c>
    </row>
    <row r="295" spans="1:17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 t="shared" si="4"/>
        <v>1</v>
      </c>
    </row>
    <row r="296" spans="1:17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 t="shared" si="4"/>
        <v>1</v>
      </c>
    </row>
    <row r="297" spans="1:17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 t="shared" si="4"/>
        <v>1</v>
      </c>
    </row>
    <row r="298" spans="1:17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 t="shared" si="4"/>
        <v>1</v>
      </c>
    </row>
    <row r="299" spans="1:17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 t="shared" si="4"/>
        <v>1</v>
      </c>
    </row>
    <row r="300" spans="1:17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 t="shared" si="4"/>
        <v>1</v>
      </c>
    </row>
    <row r="301" spans="1:17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 t="shared" si="4"/>
        <v>1</v>
      </c>
    </row>
    <row r="302" spans="1:17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 t="shared" si="4"/>
        <v>1</v>
      </c>
    </row>
    <row r="303" spans="1:17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 t="shared" si="4"/>
        <v>1</v>
      </c>
    </row>
    <row r="304" spans="1:17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 t="shared" si="4"/>
        <v>1</v>
      </c>
    </row>
    <row r="305" spans="1:17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 t="shared" si="4"/>
        <v>1</v>
      </c>
    </row>
    <row r="306" spans="1:17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 t="shared" si="4"/>
        <v>1</v>
      </c>
    </row>
    <row r="307" spans="1:17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 t="shared" si="4"/>
        <v>1</v>
      </c>
    </row>
    <row r="308" spans="1:17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 t="shared" si="4"/>
        <v>1</v>
      </c>
    </row>
    <row r="309" spans="1:17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 t="shared" si="4"/>
        <v>1</v>
      </c>
    </row>
    <row r="310" spans="1:17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 t="shared" si="4"/>
        <v>1</v>
      </c>
    </row>
    <row r="311" spans="1:17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 t="shared" si="4"/>
        <v>1</v>
      </c>
    </row>
    <row r="312" spans="1:17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 t="shared" si="4"/>
        <v>1</v>
      </c>
    </row>
    <row r="313" spans="1:17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 t="shared" si="4"/>
        <v>1</v>
      </c>
    </row>
    <row r="314" spans="1:17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 t="shared" si="4"/>
        <v>1</v>
      </c>
    </row>
    <row r="315" spans="1:17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 t="shared" si="4"/>
        <v>1</v>
      </c>
    </row>
    <row r="316" spans="1:17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 t="shared" si="4"/>
        <v>1</v>
      </c>
    </row>
    <row r="317" spans="1:17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 t="shared" si="4"/>
        <v>1</v>
      </c>
    </row>
    <row r="318" spans="1:17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 t="shared" si="4"/>
        <v>1</v>
      </c>
    </row>
    <row r="319" spans="1:17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 t="shared" si="4"/>
        <v>1</v>
      </c>
    </row>
    <row r="320" spans="1:17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 t="shared" si="4"/>
        <v>1</v>
      </c>
    </row>
    <row r="321" spans="1:17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 t="shared" si="4"/>
        <v>1</v>
      </c>
    </row>
    <row r="322" spans="1:17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 t="shared" si="4"/>
        <v>1</v>
      </c>
    </row>
    <row r="323" spans="1:17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 t="shared" ref="Q323:Q386" si="5">COUNTIF(A:A,A323)</f>
        <v>1</v>
      </c>
    </row>
    <row r="324" spans="1:17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 t="shared" si="5"/>
        <v>1</v>
      </c>
    </row>
    <row r="325" spans="1:17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 t="shared" si="5"/>
        <v>1</v>
      </c>
    </row>
    <row r="326" spans="1:17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 t="shared" si="5"/>
        <v>1</v>
      </c>
    </row>
    <row r="327" spans="1:17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 t="shared" si="5"/>
        <v>1</v>
      </c>
    </row>
    <row r="328" spans="1:17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 t="shared" si="5"/>
        <v>1</v>
      </c>
    </row>
    <row r="329" spans="1:17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 t="shared" si="5"/>
        <v>1</v>
      </c>
    </row>
    <row r="330" spans="1:17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 t="shared" si="5"/>
        <v>1</v>
      </c>
    </row>
    <row r="331" spans="1:17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 t="shared" si="5"/>
        <v>1</v>
      </c>
    </row>
    <row r="332" spans="1:17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 t="shared" si="5"/>
        <v>1</v>
      </c>
    </row>
    <row r="333" spans="1:17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 t="shared" si="5"/>
        <v>1</v>
      </c>
    </row>
    <row r="334" spans="1:17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 t="shared" si="5"/>
        <v>1</v>
      </c>
    </row>
    <row r="335" spans="1:17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 t="shared" si="5"/>
        <v>1</v>
      </c>
    </row>
    <row r="336" spans="1:17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 t="shared" si="5"/>
        <v>1</v>
      </c>
    </row>
    <row r="337" spans="1:17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 t="shared" si="5"/>
        <v>1</v>
      </c>
    </row>
    <row r="338" spans="1:17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 t="shared" si="5"/>
        <v>1</v>
      </c>
    </row>
    <row r="339" spans="1:17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 t="shared" si="5"/>
        <v>1</v>
      </c>
    </row>
    <row r="340" spans="1:17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 t="shared" si="5"/>
        <v>1</v>
      </c>
    </row>
    <row r="341" spans="1:17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 t="shared" si="5"/>
        <v>1</v>
      </c>
    </row>
    <row r="342" spans="1:17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 t="shared" si="5"/>
        <v>1</v>
      </c>
    </row>
    <row r="343" spans="1:17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 t="shared" si="5"/>
        <v>1</v>
      </c>
    </row>
    <row r="344" spans="1:17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 t="shared" si="5"/>
        <v>1</v>
      </c>
    </row>
    <row r="345" spans="1:17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 t="shared" si="5"/>
        <v>1</v>
      </c>
    </row>
    <row r="346" spans="1:17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 t="shared" si="5"/>
        <v>1</v>
      </c>
    </row>
    <row r="347" spans="1:17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 t="shared" si="5"/>
        <v>1</v>
      </c>
    </row>
    <row r="348" spans="1:17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 t="shared" si="5"/>
        <v>1</v>
      </c>
    </row>
    <row r="349" spans="1:17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 t="shared" si="5"/>
        <v>1</v>
      </c>
    </row>
    <row r="350" spans="1:17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 t="shared" si="5"/>
        <v>1</v>
      </c>
    </row>
    <row r="351" spans="1:17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 t="shared" si="5"/>
        <v>1</v>
      </c>
    </row>
    <row r="352" spans="1:17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 t="shared" si="5"/>
        <v>1</v>
      </c>
    </row>
    <row r="353" spans="1:17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 t="shared" si="5"/>
        <v>1</v>
      </c>
    </row>
    <row r="354" spans="1:17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 t="shared" si="5"/>
        <v>1</v>
      </c>
    </row>
    <row r="355" spans="1:17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 t="shared" si="5"/>
        <v>1</v>
      </c>
    </row>
    <row r="356" spans="1:17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 t="shared" si="5"/>
        <v>1</v>
      </c>
    </row>
    <row r="357" spans="1:17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 t="shared" si="5"/>
        <v>1</v>
      </c>
    </row>
    <row r="358" spans="1:17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 t="shared" si="5"/>
        <v>1</v>
      </c>
    </row>
    <row r="359" spans="1:17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 t="shared" si="5"/>
        <v>1</v>
      </c>
    </row>
    <row r="360" spans="1:17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 t="shared" si="5"/>
        <v>1</v>
      </c>
    </row>
    <row r="361" spans="1:17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 t="shared" si="5"/>
        <v>1</v>
      </c>
    </row>
    <row r="362" spans="1:17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 t="shared" si="5"/>
        <v>1</v>
      </c>
    </row>
    <row r="363" spans="1:17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 t="shared" si="5"/>
        <v>1</v>
      </c>
    </row>
    <row r="364" spans="1:17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 t="shared" si="5"/>
        <v>1</v>
      </c>
    </row>
    <row r="365" spans="1:17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 t="shared" si="5"/>
        <v>1</v>
      </c>
    </row>
    <row r="366" spans="1:17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 t="shared" si="5"/>
        <v>1</v>
      </c>
    </row>
    <row r="367" spans="1:17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 t="shared" si="5"/>
        <v>1</v>
      </c>
    </row>
    <row r="368" spans="1:17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 t="shared" si="5"/>
        <v>1</v>
      </c>
    </row>
    <row r="369" spans="1:17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 t="shared" si="5"/>
        <v>1</v>
      </c>
    </row>
    <row r="370" spans="1:17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 t="shared" si="5"/>
        <v>1</v>
      </c>
    </row>
    <row r="371" spans="1:17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 t="shared" si="5"/>
        <v>1</v>
      </c>
    </row>
    <row r="372" spans="1:17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 t="shared" si="5"/>
        <v>1</v>
      </c>
    </row>
    <row r="373" spans="1:17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 t="shared" si="5"/>
        <v>1</v>
      </c>
    </row>
    <row r="374" spans="1:17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 t="shared" si="5"/>
        <v>1</v>
      </c>
    </row>
    <row r="375" spans="1:17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 t="shared" si="5"/>
        <v>1</v>
      </c>
    </row>
    <row r="376" spans="1:17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 t="shared" si="5"/>
        <v>1</v>
      </c>
    </row>
    <row r="377" spans="1:17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 t="shared" si="5"/>
        <v>1</v>
      </c>
    </row>
    <row r="378" spans="1:17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 t="shared" si="5"/>
        <v>1</v>
      </c>
    </row>
    <row r="379" spans="1:17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 t="shared" si="5"/>
        <v>1</v>
      </c>
    </row>
    <row r="380" spans="1:17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 t="shared" si="5"/>
        <v>1</v>
      </c>
    </row>
    <row r="381" spans="1:17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 t="shared" si="5"/>
        <v>1</v>
      </c>
    </row>
    <row r="382" spans="1:17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 t="shared" si="5"/>
        <v>1</v>
      </c>
    </row>
    <row r="383" spans="1:17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 t="shared" si="5"/>
        <v>1</v>
      </c>
    </row>
    <row r="384" spans="1:17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 t="shared" si="5"/>
        <v>1</v>
      </c>
    </row>
    <row r="385" spans="1:17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 t="shared" si="5"/>
        <v>1</v>
      </c>
    </row>
    <row r="386" spans="1:17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 t="shared" si="5"/>
        <v>1</v>
      </c>
    </row>
    <row r="387" spans="1:17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 t="shared" ref="Q387:Q450" si="6">COUNTIF(A:A,A387)</f>
        <v>1</v>
      </c>
    </row>
    <row r="388" spans="1:17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 t="shared" si="6"/>
        <v>1</v>
      </c>
    </row>
    <row r="389" spans="1:17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 t="shared" si="6"/>
        <v>1</v>
      </c>
    </row>
    <row r="390" spans="1:17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 t="shared" si="6"/>
        <v>1</v>
      </c>
    </row>
    <row r="391" spans="1:17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 t="shared" si="6"/>
        <v>1</v>
      </c>
    </row>
    <row r="392" spans="1:17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 t="shared" si="6"/>
        <v>1</v>
      </c>
    </row>
    <row r="393" spans="1:17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 t="shared" si="6"/>
        <v>1</v>
      </c>
    </row>
    <row r="394" spans="1:17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 t="shared" si="6"/>
        <v>1</v>
      </c>
    </row>
    <row r="395" spans="1:17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 t="shared" si="6"/>
        <v>1</v>
      </c>
    </row>
    <row r="396" spans="1:17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 t="shared" si="6"/>
        <v>1</v>
      </c>
    </row>
    <row r="397" spans="1:17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 t="shared" si="6"/>
        <v>1</v>
      </c>
    </row>
    <row r="398" spans="1:17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 t="shared" si="6"/>
        <v>1</v>
      </c>
    </row>
    <row r="399" spans="1:17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 t="shared" si="6"/>
        <v>1</v>
      </c>
    </row>
    <row r="400" spans="1:17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 t="shared" si="6"/>
        <v>1</v>
      </c>
    </row>
    <row r="401" spans="1:17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 t="shared" si="6"/>
        <v>1</v>
      </c>
    </row>
    <row r="402" spans="1:17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 t="shared" si="6"/>
        <v>1</v>
      </c>
    </row>
    <row r="403" spans="1:17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 t="shared" si="6"/>
        <v>1</v>
      </c>
    </row>
    <row r="404" spans="1:17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 t="shared" si="6"/>
        <v>1</v>
      </c>
    </row>
    <row r="405" spans="1:17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 t="shared" si="6"/>
        <v>1</v>
      </c>
    </row>
    <row r="406" spans="1:17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 t="shared" si="6"/>
        <v>1</v>
      </c>
    </row>
    <row r="407" spans="1:17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 t="shared" si="6"/>
        <v>1</v>
      </c>
    </row>
    <row r="408" spans="1:17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 t="shared" si="6"/>
        <v>1</v>
      </c>
    </row>
    <row r="409" spans="1:17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 t="shared" si="6"/>
        <v>1</v>
      </c>
    </row>
    <row r="410" spans="1:17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 t="shared" si="6"/>
        <v>1</v>
      </c>
    </row>
    <row r="411" spans="1:17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 t="shared" si="6"/>
        <v>1</v>
      </c>
    </row>
    <row r="412" spans="1:17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 t="shared" si="6"/>
        <v>1</v>
      </c>
    </row>
    <row r="413" spans="1:17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 t="shared" si="6"/>
        <v>1</v>
      </c>
    </row>
    <row r="414" spans="1:17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 t="shared" si="6"/>
        <v>1</v>
      </c>
    </row>
    <row r="415" spans="1:17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 t="shared" si="6"/>
        <v>1</v>
      </c>
    </row>
    <row r="416" spans="1:17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 t="shared" si="6"/>
        <v>1</v>
      </c>
    </row>
    <row r="417" spans="1:17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 t="shared" si="6"/>
        <v>1</v>
      </c>
    </row>
    <row r="418" spans="1:17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 t="shared" si="6"/>
        <v>1</v>
      </c>
    </row>
    <row r="419" spans="1:17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 t="shared" si="6"/>
        <v>1</v>
      </c>
    </row>
    <row r="420" spans="1:17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 t="shared" si="6"/>
        <v>1</v>
      </c>
    </row>
    <row r="421" spans="1:17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 t="shared" si="6"/>
        <v>1</v>
      </c>
    </row>
    <row r="422" spans="1:17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 t="shared" si="6"/>
        <v>1</v>
      </c>
    </row>
    <row r="423" spans="1:17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 t="shared" si="6"/>
        <v>1</v>
      </c>
    </row>
    <row r="424" spans="1:17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 t="shared" si="6"/>
        <v>1</v>
      </c>
    </row>
    <row r="425" spans="1:17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 t="shared" si="6"/>
        <v>1</v>
      </c>
    </row>
    <row r="426" spans="1:17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 t="shared" si="6"/>
        <v>1</v>
      </c>
    </row>
    <row r="427" spans="1:17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 t="shared" si="6"/>
        <v>1</v>
      </c>
    </row>
    <row r="428" spans="1:17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 t="shared" si="6"/>
        <v>1</v>
      </c>
    </row>
    <row r="429" spans="1:17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 t="shared" si="6"/>
        <v>1</v>
      </c>
    </row>
    <row r="430" spans="1:17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 t="shared" si="6"/>
        <v>1</v>
      </c>
    </row>
    <row r="431" spans="1:17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 t="shared" si="6"/>
        <v>1</v>
      </c>
    </row>
    <row r="432" spans="1:17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 t="shared" si="6"/>
        <v>1</v>
      </c>
    </row>
    <row r="433" spans="1:17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 t="shared" si="6"/>
        <v>1</v>
      </c>
    </row>
    <row r="434" spans="1:17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 t="shared" si="6"/>
        <v>2</v>
      </c>
    </row>
    <row r="435" spans="1:17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 t="shared" si="6"/>
        <v>1</v>
      </c>
    </row>
    <row r="436" spans="1:17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 t="shared" si="6"/>
        <v>1</v>
      </c>
    </row>
    <row r="437" spans="1:17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 t="shared" si="6"/>
        <v>1</v>
      </c>
    </row>
    <row r="438" spans="1:17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 t="shared" si="6"/>
        <v>1</v>
      </c>
    </row>
    <row r="439" spans="1:17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 t="shared" si="6"/>
        <v>1</v>
      </c>
    </row>
    <row r="440" spans="1:17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 t="shared" si="6"/>
        <v>1</v>
      </c>
    </row>
    <row r="441" spans="1:17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 t="shared" si="6"/>
        <v>1</v>
      </c>
    </row>
    <row r="442" spans="1:17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 t="shared" si="6"/>
        <v>1</v>
      </c>
    </row>
    <row r="443" spans="1:17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 t="shared" si="6"/>
        <v>1</v>
      </c>
    </row>
    <row r="444" spans="1:17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 t="shared" si="6"/>
        <v>1</v>
      </c>
    </row>
    <row r="445" spans="1:17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 t="shared" si="6"/>
        <v>1</v>
      </c>
    </row>
    <row r="446" spans="1:17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 t="shared" si="6"/>
        <v>1</v>
      </c>
    </row>
    <row r="447" spans="1:17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 t="shared" si="6"/>
        <v>1</v>
      </c>
    </row>
    <row r="448" spans="1:17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 t="shared" si="6"/>
        <v>1</v>
      </c>
    </row>
    <row r="449" spans="1:17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 t="shared" si="6"/>
        <v>1</v>
      </c>
    </row>
    <row r="450" spans="1:17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 t="shared" si="6"/>
        <v>1</v>
      </c>
    </row>
    <row r="451" spans="1:17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 t="shared" ref="Q451:Q514" si="7">COUNTIF(A:A,A451)</f>
        <v>1</v>
      </c>
    </row>
    <row r="452" spans="1:17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 t="shared" si="7"/>
        <v>1</v>
      </c>
    </row>
    <row r="453" spans="1:17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 t="shared" si="7"/>
        <v>1</v>
      </c>
    </row>
    <row r="454" spans="1:17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 t="shared" si="7"/>
        <v>1</v>
      </c>
    </row>
    <row r="455" spans="1:17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 t="shared" si="7"/>
        <v>1</v>
      </c>
    </row>
    <row r="456" spans="1:17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 t="shared" si="7"/>
        <v>1</v>
      </c>
    </row>
    <row r="457" spans="1:17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 t="shared" si="7"/>
        <v>1</v>
      </c>
    </row>
    <row r="458" spans="1:17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 t="shared" si="7"/>
        <v>1</v>
      </c>
    </row>
    <row r="459" spans="1:17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 t="shared" si="7"/>
        <v>1</v>
      </c>
    </row>
    <row r="460" spans="1:17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 t="shared" si="7"/>
        <v>1</v>
      </c>
    </row>
    <row r="461" spans="1:17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 t="shared" si="7"/>
        <v>1</v>
      </c>
    </row>
    <row r="462" spans="1:17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 t="shared" si="7"/>
        <v>1</v>
      </c>
    </row>
    <row r="463" spans="1:17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 t="shared" si="7"/>
        <v>1</v>
      </c>
    </row>
    <row r="464" spans="1:17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 t="shared" si="7"/>
        <v>1</v>
      </c>
    </row>
    <row r="465" spans="1:17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 t="shared" si="7"/>
        <v>1</v>
      </c>
    </row>
    <row r="466" spans="1:17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 t="shared" si="7"/>
        <v>1</v>
      </c>
    </row>
    <row r="467" spans="1:17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 t="shared" si="7"/>
        <v>1</v>
      </c>
    </row>
    <row r="468" spans="1:17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 t="shared" si="7"/>
        <v>1</v>
      </c>
    </row>
    <row r="469" spans="1:17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 t="shared" si="7"/>
        <v>1</v>
      </c>
    </row>
    <row r="470" spans="1:17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 t="shared" si="7"/>
        <v>1</v>
      </c>
    </row>
    <row r="471" spans="1:17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 t="shared" si="7"/>
        <v>1</v>
      </c>
    </row>
    <row r="472" spans="1:17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 t="shared" si="7"/>
        <v>1</v>
      </c>
    </row>
    <row r="473" spans="1:17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 t="shared" si="7"/>
        <v>1</v>
      </c>
    </row>
    <row r="474" spans="1:17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 t="shared" si="7"/>
        <v>1</v>
      </c>
    </row>
    <row r="475" spans="1:17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 t="shared" si="7"/>
        <v>1</v>
      </c>
    </row>
    <row r="476" spans="1:17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 t="shared" si="7"/>
        <v>1</v>
      </c>
    </row>
    <row r="477" spans="1:17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 t="shared" si="7"/>
        <v>1</v>
      </c>
    </row>
    <row r="478" spans="1:17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 t="shared" si="7"/>
        <v>1</v>
      </c>
    </row>
    <row r="479" spans="1:17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 t="shared" si="7"/>
        <v>1</v>
      </c>
    </row>
    <row r="480" spans="1:17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 t="shared" si="7"/>
        <v>1</v>
      </c>
    </row>
    <row r="481" spans="1:17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 t="shared" si="7"/>
        <v>1</v>
      </c>
    </row>
    <row r="482" spans="1:17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 t="shared" si="7"/>
        <v>1</v>
      </c>
    </row>
    <row r="483" spans="1:17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 t="shared" si="7"/>
        <v>1</v>
      </c>
    </row>
    <row r="484" spans="1:17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 t="shared" si="7"/>
        <v>1</v>
      </c>
    </row>
    <row r="485" spans="1:17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 t="shared" si="7"/>
        <v>1</v>
      </c>
    </row>
    <row r="486" spans="1:17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 t="shared" si="7"/>
        <v>1</v>
      </c>
    </row>
    <row r="487" spans="1:17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 t="shared" si="7"/>
        <v>1</v>
      </c>
    </row>
    <row r="488" spans="1:17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 t="shared" si="7"/>
        <v>1</v>
      </c>
    </row>
    <row r="489" spans="1:17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 t="shared" si="7"/>
        <v>1</v>
      </c>
    </row>
    <row r="490" spans="1:17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 t="shared" si="7"/>
        <v>1</v>
      </c>
    </row>
    <row r="491" spans="1:17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 t="shared" si="7"/>
        <v>1</v>
      </c>
    </row>
    <row r="492" spans="1:17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 t="shared" si="7"/>
        <v>1</v>
      </c>
    </row>
    <row r="493" spans="1:17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 t="shared" si="7"/>
        <v>1</v>
      </c>
    </row>
    <row r="494" spans="1:17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 t="shared" si="7"/>
        <v>1</v>
      </c>
    </row>
    <row r="495" spans="1:17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 t="shared" si="7"/>
        <v>1</v>
      </c>
    </row>
    <row r="496" spans="1:17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 t="shared" si="7"/>
        <v>1</v>
      </c>
    </row>
    <row r="497" spans="1:17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 t="shared" si="7"/>
        <v>1</v>
      </c>
    </row>
    <row r="498" spans="1:17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 t="shared" si="7"/>
        <v>1</v>
      </c>
    </row>
    <row r="499" spans="1:17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 t="shared" si="7"/>
        <v>1</v>
      </c>
    </row>
    <row r="500" spans="1:17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 t="shared" si="7"/>
        <v>1</v>
      </c>
    </row>
    <row r="501" spans="1:17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 t="shared" si="7"/>
        <v>1</v>
      </c>
    </row>
    <row r="502" spans="1:17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 t="shared" si="7"/>
        <v>1</v>
      </c>
    </row>
    <row r="503" spans="1:17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 t="shared" si="7"/>
        <v>1</v>
      </c>
    </row>
    <row r="504" spans="1:17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 t="shared" si="7"/>
        <v>1</v>
      </c>
    </row>
    <row r="505" spans="1:17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 t="shared" si="7"/>
        <v>1</v>
      </c>
    </row>
    <row r="506" spans="1:17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 t="shared" si="7"/>
        <v>1</v>
      </c>
    </row>
    <row r="507" spans="1:17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 t="shared" si="7"/>
        <v>1</v>
      </c>
    </row>
    <row r="508" spans="1:17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 t="shared" si="7"/>
        <v>1</v>
      </c>
    </row>
    <row r="509" spans="1:17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 t="shared" si="7"/>
        <v>1</v>
      </c>
    </row>
    <row r="510" spans="1:17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 t="shared" si="7"/>
        <v>1</v>
      </c>
    </row>
    <row r="511" spans="1:17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 t="shared" si="7"/>
        <v>1</v>
      </c>
    </row>
    <row r="512" spans="1:17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 t="shared" si="7"/>
        <v>1</v>
      </c>
    </row>
    <row r="513" spans="1:17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 t="shared" si="7"/>
        <v>1</v>
      </c>
    </row>
    <row r="514" spans="1:17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 t="shared" si="7"/>
        <v>1</v>
      </c>
    </row>
    <row r="515" spans="1:17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 t="shared" ref="Q515:Q578" si="8">COUNTIF(A:A,A515)</f>
        <v>1</v>
      </c>
    </row>
    <row r="516" spans="1:17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 t="shared" si="8"/>
        <v>1</v>
      </c>
    </row>
    <row r="517" spans="1:17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 t="shared" si="8"/>
        <v>1</v>
      </c>
    </row>
    <row r="518" spans="1:17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 t="shared" si="8"/>
        <v>1</v>
      </c>
    </row>
    <row r="519" spans="1:17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 t="shared" si="8"/>
        <v>1</v>
      </c>
    </row>
    <row r="520" spans="1:17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 t="shared" si="8"/>
        <v>1</v>
      </c>
    </row>
    <row r="521" spans="1:17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 t="shared" si="8"/>
        <v>1</v>
      </c>
    </row>
    <row r="522" spans="1:17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 t="shared" si="8"/>
        <v>1</v>
      </c>
    </row>
    <row r="523" spans="1:17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 t="shared" si="8"/>
        <v>1</v>
      </c>
    </row>
    <row r="524" spans="1:17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 t="shared" si="8"/>
        <v>1</v>
      </c>
    </row>
    <row r="525" spans="1:17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 t="shared" si="8"/>
        <v>1</v>
      </c>
    </row>
    <row r="526" spans="1:17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 t="shared" si="8"/>
        <v>1</v>
      </c>
    </row>
    <row r="527" spans="1:17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 t="shared" si="8"/>
        <v>1</v>
      </c>
    </row>
    <row r="528" spans="1:17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 t="shared" si="8"/>
        <v>1</v>
      </c>
    </row>
    <row r="529" spans="1:17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 t="shared" si="8"/>
        <v>1</v>
      </c>
    </row>
    <row r="530" spans="1:17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 t="shared" si="8"/>
        <v>1</v>
      </c>
    </row>
    <row r="531" spans="1:17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 t="shared" si="8"/>
        <v>1</v>
      </c>
    </row>
    <row r="532" spans="1:17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 t="shared" si="8"/>
        <v>1</v>
      </c>
    </row>
    <row r="533" spans="1:17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 t="shared" si="8"/>
        <v>1</v>
      </c>
    </row>
    <row r="534" spans="1:17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 t="shared" si="8"/>
        <v>1</v>
      </c>
    </row>
    <row r="535" spans="1:17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 t="shared" si="8"/>
        <v>1</v>
      </c>
    </row>
    <row r="536" spans="1:17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 t="shared" si="8"/>
        <v>1</v>
      </c>
    </row>
    <row r="537" spans="1:17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 t="shared" si="8"/>
        <v>1</v>
      </c>
    </row>
    <row r="538" spans="1:17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 t="shared" si="8"/>
        <v>1</v>
      </c>
    </row>
    <row r="539" spans="1:17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 t="shared" si="8"/>
        <v>1</v>
      </c>
    </row>
    <row r="540" spans="1:17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 t="shared" si="8"/>
        <v>1</v>
      </c>
    </row>
    <row r="541" spans="1:17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 t="shared" si="8"/>
        <v>1</v>
      </c>
    </row>
    <row r="542" spans="1:17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 t="shared" si="8"/>
        <v>2</v>
      </c>
    </row>
    <row r="543" spans="1:17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 t="shared" si="8"/>
        <v>1</v>
      </c>
    </row>
    <row r="544" spans="1:17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 t="shared" si="8"/>
        <v>1</v>
      </c>
    </row>
    <row r="545" spans="1:17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 t="shared" si="8"/>
        <v>1</v>
      </c>
    </row>
    <row r="546" spans="1:17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 t="shared" si="8"/>
        <v>1</v>
      </c>
    </row>
    <row r="547" spans="1:17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 t="shared" si="8"/>
        <v>1</v>
      </c>
    </row>
    <row r="548" spans="1:17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 t="shared" si="8"/>
        <v>1</v>
      </c>
    </row>
    <row r="549" spans="1:17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 t="shared" si="8"/>
        <v>1</v>
      </c>
    </row>
    <row r="550" spans="1:17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 t="shared" si="8"/>
        <v>1</v>
      </c>
    </row>
    <row r="551" spans="1:17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 t="shared" si="8"/>
        <v>1</v>
      </c>
    </row>
    <row r="552" spans="1:17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 t="shared" si="8"/>
        <v>1</v>
      </c>
    </row>
    <row r="553" spans="1:17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 t="shared" si="8"/>
        <v>1</v>
      </c>
    </row>
    <row r="554" spans="1:17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 t="shared" si="8"/>
        <v>1</v>
      </c>
    </row>
    <row r="555" spans="1:17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 t="shared" si="8"/>
        <v>1</v>
      </c>
    </row>
    <row r="556" spans="1:17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 t="shared" si="8"/>
        <v>1</v>
      </c>
    </row>
    <row r="557" spans="1:17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 t="shared" si="8"/>
        <v>1</v>
      </c>
    </row>
    <row r="558" spans="1:17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 t="shared" si="8"/>
        <v>1</v>
      </c>
    </row>
    <row r="559" spans="1:17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 t="shared" si="8"/>
        <v>1</v>
      </c>
    </row>
    <row r="560" spans="1:17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 t="shared" si="8"/>
        <v>1</v>
      </c>
    </row>
    <row r="561" spans="1:17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 t="shared" si="8"/>
        <v>1</v>
      </c>
    </row>
    <row r="562" spans="1:17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 t="shared" si="8"/>
        <v>1</v>
      </c>
    </row>
    <row r="563" spans="1:17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 t="shared" si="8"/>
        <v>1</v>
      </c>
    </row>
    <row r="564" spans="1:17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 t="shared" si="8"/>
        <v>1</v>
      </c>
    </row>
    <row r="565" spans="1:17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 t="shared" si="8"/>
        <v>1</v>
      </c>
    </row>
    <row r="566" spans="1:17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 t="shared" si="8"/>
        <v>1</v>
      </c>
    </row>
    <row r="567" spans="1:17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 t="shared" si="8"/>
        <v>1</v>
      </c>
    </row>
    <row r="568" spans="1:17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 t="shared" si="8"/>
        <v>1</v>
      </c>
    </row>
    <row r="569" spans="1:17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 t="shared" si="8"/>
        <v>1</v>
      </c>
    </row>
    <row r="570" spans="1:17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 t="shared" si="8"/>
        <v>1</v>
      </c>
    </row>
    <row r="571" spans="1:17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 t="shared" si="8"/>
        <v>1</v>
      </c>
    </row>
    <row r="572" spans="1:17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 t="shared" si="8"/>
        <v>1</v>
      </c>
    </row>
    <row r="573" spans="1:17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 t="shared" si="8"/>
        <v>1</v>
      </c>
    </row>
    <row r="574" spans="1:17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 t="shared" si="8"/>
        <v>1</v>
      </c>
    </row>
    <row r="575" spans="1:17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 t="shared" si="8"/>
        <v>1</v>
      </c>
    </row>
    <row r="576" spans="1:17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 t="shared" si="8"/>
        <v>1</v>
      </c>
    </row>
    <row r="577" spans="1:17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 t="shared" si="8"/>
        <v>1</v>
      </c>
    </row>
    <row r="578" spans="1:17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 t="shared" si="8"/>
        <v>1</v>
      </c>
    </row>
    <row r="579" spans="1:17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 t="shared" ref="Q579:Q642" si="9">COUNTIF(A:A,A579)</f>
        <v>1</v>
      </c>
    </row>
    <row r="580" spans="1:17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 t="shared" si="9"/>
        <v>1</v>
      </c>
    </row>
    <row r="581" spans="1:17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 t="shared" si="9"/>
        <v>1</v>
      </c>
    </row>
    <row r="582" spans="1:17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 t="shared" si="9"/>
        <v>1</v>
      </c>
    </row>
    <row r="583" spans="1:17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 t="shared" si="9"/>
        <v>1</v>
      </c>
    </row>
    <row r="584" spans="1:17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 t="shared" si="9"/>
        <v>1</v>
      </c>
    </row>
    <row r="585" spans="1:17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 t="shared" si="9"/>
        <v>1</v>
      </c>
    </row>
    <row r="586" spans="1:17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 t="shared" si="9"/>
        <v>1</v>
      </c>
    </row>
    <row r="587" spans="1:17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 t="shared" si="9"/>
        <v>1</v>
      </c>
    </row>
    <row r="588" spans="1:17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 t="shared" si="9"/>
        <v>1</v>
      </c>
    </row>
    <row r="589" spans="1:17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 t="shared" si="9"/>
        <v>1</v>
      </c>
    </row>
    <row r="590" spans="1:17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 t="shared" si="9"/>
        <v>1</v>
      </c>
    </row>
    <row r="591" spans="1:17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 t="shared" si="9"/>
        <v>1</v>
      </c>
    </row>
    <row r="592" spans="1:17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 t="shared" si="9"/>
        <v>1</v>
      </c>
    </row>
    <row r="593" spans="1:17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 t="shared" si="9"/>
        <v>1</v>
      </c>
    </row>
    <row r="594" spans="1:17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 t="shared" si="9"/>
        <v>1</v>
      </c>
    </row>
    <row r="595" spans="1:17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 t="shared" si="9"/>
        <v>1</v>
      </c>
    </row>
    <row r="596" spans="1:17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 t="shared" si="9"/>
        <v>1</v>
      </c>
    </row>
    <row r="597" spans="1:17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 t="shared" si="9"/>
        <v>1</v>
      </c>
    </row>
    <row r="598" spans="1:17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 t="shared" si="9"/>
        <v>1</v>
      </c>
    </row>
    <row r="599" spans="1:17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 t="shared" si="9"/>
        <v>1</v>
      </c>
    </row>
    <row r="600" spans="1:17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 t="shared" si="9"/>
        <v>1</v>
      </c>
    </row>
    <row r="601" spans="1:17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 t="shared" si="9"/>
        <v>1</v>
      </c>
    </row>
    <row r="602" spans="1:17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 t="shared" si="9"/>
        <v>1</v>
      </c>
    </row>
    <row r="603" spans="1:17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 t="shared" si="9"/>
        <v>1</v>
      </c>
    </row>
    <row r="604" spans="1:17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 t="shared" si="9"/>
        <v>1</v>
      </c>
    </row>
    <row r="605" spans="1:17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 t="shared" si="9"/>
        <v>1</v>
      </c>
    </row>
    <row r="606" spans="1:17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 t="shared" si="9"/>
        <v>1</v>
      </c>
    </row>
    <row r="607" spans="1:17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 t="shared" si="9"/>
        <v>1</v>
      </c>
    </row>
    <row r="608" spans="1:17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 t="shared" si="9"/>
        <v>1</v>
      </c>
    </row>
    <row r="609" spans="1:17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 t="shared" si="9"/>
        <v>1</v>
      </c>
    </row>
    <row r="610" spans="1:17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 t="shared" si="9"/>
        <v>1</v>
      </c>
    </row>
    <row r="611" spans="1:17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 t="shared" si="9"/>
        <v>1</v>
      </c>
    </row>
    <row r="612" spans="1:17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 t="shared" si="9"/>
        <v>1</v>
      </c>
    </row>
    <row r="613" spans="1:17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 t="shared" si="9"/>
        <v>1</v>
      </c>
    </row>
    <row r="614" spans="1:17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 t="shared" si="9"/>
        <v>1</v>
      </c>
    </row>
    <row r="615" spans="1:17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 t="shared" si="9"/>
        <v>1</v>
      </c>
    </row>
    <row r="616" spans="1:17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 t="shared" si="9"/>
        <v>1</v>
      </c>
    </row>
    <row r="617" spans="1:17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 t="shared" si="9"/>
        <v>1</v>
      </c>
    </row>
    <row r="618" spans="1:17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 t="shared" si="9"/>
        <v>1</v>
      </c>
    </row>
    <row r="619" spans="1:17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 t="shared" si="9"/>
        <v>1</v>
      </c>
    </row>
    <row r="620" spans="1:17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 t="shared" si="9"/>
        <v>1</v>
      </c>
    </row>
    <row r="621" spans="1:17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 t="shared" si="9"/>
        <v>1</v>
      </c>
    </row>
    <row r="622" spans="1:17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 t="shared" si="9"/>
        <v>1</v>
      </c>
    </row>
    <row r="623" spans="1:17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 t="shared" si="9"/>
        <v>1</v>
      </c>
    </row>
    <row r="624" spans="1:17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 t="shared" si="9"/>
        <v>1</v>
      </c>
    </row>
    <row r="625" spans="1:17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 t="shared" si="9"/>
        <v>1</v>
      </c>
    </row>
    <row r="626" spans="1:17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 t="shared" si="9"/>
        <v>1</v>
      </c>
    </row>
    <row r="627" spans="1:17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 t="shared" si="9"/>
        <v>1</v>
      </c>
    </row>
    <row r="628" spans="1:17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 t="shared" si="9"/>
        <v>1</v>
      </c>
    </row>
    <row r="629" spans="1:17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 t="shared" si="9"/>
        <v>1</v>
      </c>
    </row>
    <row r="630" spans="1:17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 t="shared" si="9"/>
        <v>1</v>
      </c>
    </row>
    <row r="631" spans="1:17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 t="shared" si="9"/>
        <v>1</v>
      </c>
    </row>
    <row r="632" spans="1:17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 t="shared" si="9"/>
        <v>1</v>
      </c>
    </row>
    <row r="633" spans="1:17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 t="shared" si="9"/>
        <v>1</v>
      </c>
    </row>
    <row r="634" spans="1:17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 t="shared" si="9"/>
        <v>1</v>
      </c>
    </row>
    <row r="635" spans="1:17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 t="shared" si="9"/>
        <v>1</v>
      </c>
    </row>
    <row r="636" spans="1:17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 t="shared" si="9"/>
        <v>1</v>
      </c>
    </row>
    <row r="637" spans="1:17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 t="shared" si="9"/>
        <v>1</v>
      </c>
    </row>
    <row r="638" spans="1:17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 t="shared" si="9"/>
        <v>1</v>
      </c>
    </row>
    <row r="639" spans="1:17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 t="shared" si="9"/>
        <v>1</v>
      </c>
    </row>
    <row r="640" spans="1:17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 t="shared" si="9"/>
        <v>1</v>
      </c>
    </row>
    <row r="641" spans="1:17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 t="shared" si="9"/>
        <v>1</v>
      </c>
    </row>
    <row r="642" spans="1:17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 t="shared" si="9"/>
        <v>1</v>
      </c>
    </row>
    <row r="643" spans="1:17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 t="shared" ref="Q643:Q706" si="10">COUNTIF(A:A,A643)</f>
        <v>1</v>
      </c>
    </row>
    <row r="644" spans="1:17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 t="shared" si="10"/>
        <v>1</v>
      </c>
    </row>
    <row r="645" spans="1:17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 t="shared" si="10"/>
        <v>1</v>
      </c>
    </row>
    <row r="646" spans="1:17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 t="shared" si="10"/>
        <v>1</v>
      </c>
    </row>
    <row r="647" spans="1:17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 t="shared" si="10"/>
        <v>1</v>
      </c>
    </row>
    <row r="648" spans="1:17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 t="shared" si="10"/>
        <v>1</v>
      </c>
    </row>
    <row r="649" spans="1:17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 t="shared" si="10"/>
        <v>1</v>
      </c>
    </row>
    <row r="650" spans="1:17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 t="shared" si="10"/>
        <v>1</v>
      </c>
    </row>
    <row r="651" spans="1:17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 t="shared" si="10"/>
        <v>1</v>
      </c>
    </row>
    <row r="652" spans="1:17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 t="shared" si="10"/>
        <v>1</v>
      </c>
    </row>
    <row r="653" spans="1:17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 t="shared" si="10"/>
        <v>1</v>
      </c>
    </row>
    <row r="654" spans="1:17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 t="shared" si="10"/>
        <v>1</v>
      </c>
    </row>
    <row r="655" spans="1:17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 t="shared" si="10"/>
        <v>1</v>
      </c>
    </row>
    <row r="656" spans="1:17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 t="shared" si="10"/>
        <v>1</v>
      </c>
    </row>
    <row r="657" spans="1:17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 t="shared" si="10"/>
        <v>1</v>
      </c>
    </row>
    <row r="658" spans="1:17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 t="shared" si="10"/>
        <v>1</v>
      </c>
    </row>
    <row r="659" spans="1:17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 t="shared" si="10"/>
        <v>1</v>
      </c>
    </row>
    <row r="660" spans="1:17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 t="shared" si="10"/>
        <v>1</v>
      </c>
    </row>
    <row r="661" spans="1:17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 t="shared" si="10"/>
        <v>1</v>
      </c>
    </row>
    <row r="662" spans="1:17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 t="shared" si="10"/>
        <v>1</v>
      </c>
    </row>
    <row r="663" spans="1:17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 t="shared" si="10"/>
        <v>1</v>
      </c>
    </row>
    <row r="664" spans="1:17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 t="shared" si="10"/>
        <v>1</v>
      </c>
    </row>
    <row r="665" spans="1:17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 t="shared" si="10"/>
        <v>1</v>
      </c>
    </row>
    <row r="666" spans="1:17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 t="shared" si="10"/>
        <v>1</v>
      </c>
    </row>
    <row r="667" spans="1:17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 t="shared" si="10"/>
        <v>1</v>
      </c>
    </row>
    <row r="668" spans="1:17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 t="shared" si="10"/>
        <v>1</v>
      </c>
    </row>
    <row r="669" spans="1:17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 t="shared" si="10"/>
        <v>1</v>
      </c>
    </row>
    <row r="670" spans="1:17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 t="shared" si="10"/>
        <v>1</v>
      </c>
    </row>
    <row r="671" spans="1:17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 t="shared" si="10"/>
        <v>1</v>
      </c>
    </row>
    <row r="672" spans="1:17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 t="shared" si="10"/>
        <v>1</v>
      </c>
    </row>
    <row r="673" spans="1:17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 t="shared" si="10"/>
        <v>1</v>
      </c>
    </row>
    <row r="674" spans="1:17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 t="shared" si="10"/>
        <v>1</v>
      </c>
    </row>
    <row r="675" spans="1:17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 t="shared" si="10"/>
        <v>1</v>
      </c>
    </row>
    <row r="676" spans="1:17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 t="shared" si="10"/>
        <v>1</v>
      </c>
    </row>
    <row r="677" spans="1:17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 t="shared" si="10"/>
        <v>1</v>
      </c>
    </row>
    <row r="678" spans="1:17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 t="shared" si="10"/>
        <v>1</v>
      </c>
    </row>
    <row r="679" spans="1:17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 t="shared" si="10"/>
        <v>1</v>
      </c>
    </row>
    <row r="680" spans="1:17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 t="shared" si="10"/>
        <v>1</v>
      </c>
    </row>
    <row r="681" spans="1:17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 t="shared" si="10"/>
        <v>1</v>
      </c>
    </row>
    <row r="682" spans="1:17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 t="shared" si="10"/>
        <v>1</v>
      </c>
    </row>
    <row r="683" spans="1:17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 t="shared" si="10"/>
        <v>1</v>
      </c>
    </row>
    <row r="684" spans="1:17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 t="shared" si="10"/>
        <v>1</v>
      </c>
    </row>
    <row r="685" spans="1:17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 t="shared" si="10"/>
        <v>1</v>
      </c>
    </row>
    <row r="686" spans="1:17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 t="shared" si="10"/>
        <v>1</v>
      </c>
    </row>
    <row r="687" spans="1:17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 t="shared" si="10"/>
        <v>1</v>
      </c>
    </row>
    <row r="688" spans="1:17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 t="shared" si="10"/>
        <v>1</v>
      </c>
    </row>
    <row r="689" spans="1:18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 t="shared" si="10"/>
        <v>1</v>
      </c>
    </row>
    <row r="690" spans="1:18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 t="shared" si="10"/>
        <v>1</v>
      </c>
    </row>
    <row r="691" spans="1:18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 t="shared" si="10"/>
        <v>1</v>
      </c>
    </row>
    <row r="692" spans="1:18" hidden="1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f t="shared" si="10"/>
        <v>1</v>
      </c>
      <c r="R692">
        <f>COUNTIFS(Cleaned_Data!C:C,"Control",Cleaned_Data!N:N,1)</f>
        <v>0</v>
      </c>
    </row>
    <row r="693" spans="1:18" hidden="1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f t="shared" si="10"/>
        <v>1</v>
      </c>
    </row>
    <row r="694" spans="1:18" hidden="1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f t="shared" si="10"/>
        <v>1</v>
      </c>
    </row>
    <row r="695" spans="1:18" hidden="1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f t="shared" si="10"/>
        <v>1</v>
      </c>
    </row>
    <row r="696" spans="1:18" hidden="1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f t="shared" si="10"/>
        <v>1</v>
      </c>
    </row>
    <row r="697" spans="1:18" hidden="1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f t="shared" si="10"/>
        <v>1</v>
      </c>
    </row>
    <row r="698" spans="1:18" hidden="1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f t="shared" si="10"/>
        <v>1</v>
      </c>
    </row>
    <row r="699" spans="1:18" hidden="1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f t="shared" si="10"/>
        <v>1</v>
      </c>
    </row>
    <row r="700" spans="1:18" hidden="1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f t="shared" si="10"/>
        <v>1</v>
      </c>
    </row>
    <row r="701" spans="1:18" hidden="1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f t="shared" si="10"/>
        <v>1</v>
      </c>
    </row>
    <row r="702" spans="1:18" hidden="1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f t="shared" si="10"/>
        <v>1</v>
      </c>
    </row>
    <row r="703" spans="1:18" hidden="1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f t="shared" si="10"/>
        <v>1</v>
      </c>
    </row>
    <row r="704" spans="1:18" hidden="1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f t="shared" si="10"/>
        <v>1</v>
      </c>
    </row>
    <row r="705" spans="1:17" hidden="1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f t="shared" si="10"/>
        <v>1</v>
      </c>
    </row>
    <row r="706" spans="1:17" hidden="1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f t="shared" si="10"/>
        <v>1</v>
      </c>
    </row>
    <row r="707" spans="1:17" hidden="1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f t="shared" ref="Q707:Q770" si="11">COUNTIF(A:A,A707)</f>
        <v>1</v>
      </c>
    </row>
    <row r="708" spans="1:17" hidden="1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f t="shared" si="11"/>
        <v>1</v>
      </c>
    </row>
    <row r="709" spans="1:17" hidden="1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f t="shared" si="11"/>
        <v>1</v>
      </c>
    </row>
    <row r="710" spans="1:17" hidden="1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f t="shared" si="11"/>
        <v>1</v>
      </c>
    </row>
    <row r="711" spans="1:17" hidden="1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f t="shared" si="11"/>
        <v>1</v>
      </c>
    </row>
    <row r="712" spans="1:17" hidden="1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f t="shared" si="11"/>
        <v>1</v>
      </c>
    </row>
    <row r="713" spans="1:17" hidden="1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f t="shared" si="11"/>
        <v>1</v>
      </c>
    </row>
    <row r="714" spans="1:17" hidden="1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f t="shared" si="11"/>
        <v>1</v>
      </c>
    </row>
    <row r="715" spans="1:17" hidden="1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f t="shared" si="11"/>
        <v>1</v>
      </c>
    </row>
    <row r="716" spans="1:17" hidden="1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f t="shared" si="11"/>
        <v>1</v>
      </c>
    </row>
    <row r="717" spans="1:17" hidden="1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f t="shared" si="11"/>
        <v>1</v>
      </c>
    </row>
    <row r="718" spans="1:17" hidden="1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f t="shared" si="11"/>
        <v>1</v>
      </c>
    </row>
    <row r="719" spans="1:17" hidden="1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f t="shared" si="11"/>
        <v>1</v>
      </c>
    </row>
    <row r="720" spans="1:17" hidden="1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f t="shared" si="11"/>
        <v>1</v>
      </c>
    </row>
    <row r="721" spans="1:17" hidden="1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f t="shared" si="11"/>
        <v>1</v>
      </c>
    </row>
    <row r="722" spans="1:17" hidden="1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f t="shared" si="11"/>
        <v>1</v>
      </c>
    </row>
    <row r="723" spans="1:17" hidden="1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f t="shared" si="11"/>
        <v>1</v>
      </c>
    </row>
    <row r="724" spans="1:17" hidden="1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f t="shared" si="11"/>
        <v>1</v>
      </c>
    </row>
    <row r="725" spans="1:17" hidden="1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f t="shared" si="11"/>
        <v>1</v>
      </c>
    </row>
    <row r="726" spans="1:17" hidden="1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f t="shared" si="11"/>
        <v>1</v>
      </c>
    </row>
    <row r="727" spans="1:17" hidden="1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f t="shared" si="11"/>
        <v>1</v>
      </c>
    </row>
    <row r="728" spans="1:17" hidden="1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f t="shared" si="11"/>
        <v>1</v>
      </c>
    </row>
    <row r="729" spans="1:17" hidden="1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f t="shared" si="11"/>
        <v>1</v>
      </c>
    </row>
    <row r="730" spans="1:17" hidden="1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f t="shared" si="11"/>
        <v>1</v>
      </c>
    </row>
    <row r="731" spans="1:17" hidden="1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f t="shared" si="11"/>
        <v>1</v>
      </c>
    </row>
    <row r="732" spans="1:17" hidden="1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f t="shared" si="11"/>
        <v>1</v>
      </c>
    </row>
    <row r="733" spans="1:17" hidden="1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f t="shared" si="11"/>
        <v>1</v>
      </c>
    </row>
    <row r="734" spans="1:17" hidden="1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f t="shared" si="11"/>
        <v>1</v>
      </c>
    </row>
    <row r="735" spans="1:17" hidden="1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f t="shared" si="11"/>
        <v>1</v>
      </c>
    </row>
    <row r="736" spans="1:17" hidden="1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f t="shared" si="11"/>
        <v>1</v>
      </c>
    </row>
    <row r="737" spans="1:17" hidden="1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f t="shared" si="11"/>
        <v>1</v>
      </c>
    </row>
    <row r="738" spans="1:17" hidden="1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f t="shared" si="11"/>
        <v>1</v>
      </c>
    </row>
    <row r="739" spans="1:17" hidden="1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f t="shared" si="11"/>
        <v>1</v>
      </c>
    </row>
    <row r="740" spans="1:17" hidden="1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f t="shared" si="11"/>
        <v>1</v>
      </c>
    </row>
    <row r="741" spans="1:17" hidden="1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f t="shared" si="11"/>
        <v>1</v>
      </c>
    </row>
    <row r="742" spans="1:17" hidden="1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f t="shared" si="11"/>
        <v>1</v>
      </c>
    </row>
    <row r="743" spans="1:17" hidden="1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f t="shared" si="11"/>
        <v>1</v>
      </c>
    </row>
    <row r="744" spans="1:17" hidden="1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f t="shared" si="11"/>
        <v>1</v>
      </c>
    </row>
    <row r="745" spans="1:17" hidden="1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f t="shared" si="11"/>
        <v>1</v>
      </c>
    </row>
    <row r="746" spans="1:17" hidden="1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f t="shared" si="11"/>
        <v>1</v>
      </c>
    </row>
    <row r="747" spans="1:17" hidden="1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f t="shared" si="11"/>
        <v>1</v>
      </c>
    </row>
    <row r="748" spans="1:17" hidden="1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f t="shared" si="11"/>
        <v>1</v>
      </c>
    </row>
    <row r="749" spans="1:17" hidden="1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f t="shared" si="11"/>
        <v>1</v>
      </c>
    </row>
    <row r="750" spans="1:17" hidden="1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f t="shared" si="11"/>
        <v>1</v>
      </c>
    </row>
    <row r="751" spans="1:17" hidden="1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f t="shared" si="11"/>
        <v>1</v>
      </c>
    </row>
    <row r="752" spans="1:17" hidden="1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f t="shared" si="11"/>
        <v>1</v>
      </c>
    </row>
    <row r="753" spans="1:17" hidden="1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f t="shared" si="11"/>
        <v>1</v>
      </c>
    </row>
    <row r="754" spans="1:17" hidden="1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f t="shared" si="11"/>
        <v>1</v>
      </c>
    </row>
    <row r="755" spans="1:17" hidden="1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f t="shared" si="11"/>
        <v>1</v>
      </c>
    </row>
    <row r="756" spans="1:17" hidden="1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f t="shared" si="11"/>
        <v>1</v>
      </c>
    </row>
    <row r="757" spans="1:17" hidden="1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f t="shared" si="11"/>
        <v>1</v>
      </c>
    </row>
    <row r="758" spans="1:17" hidden="1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f t="shared" si="11"/>
        <v>1</v>
      </c>
    </row>
    <row r="759" spans="1:17" hidden="1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f t="shared" si="11"/>
        <v>1</v>
      </c>
    </row>
    <row r="760" spans="1:17" hidden="1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f t="shared" si="11"/>
        <v>1</v>
      </c>
    </row>
    <row r="761" spans="1:17" hidden="1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f t="shared" si="11"/>
        <v>1</v>
      </c>
    </row>
    <row r="762" spans="1:17" hidden="1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f t="shared" si="11"/>
        <v>1</v>
      </c>
    </row>
    <row r="763" spans="1:17" hidden="1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f t="shared" si="11"/>
        <v>1</v>
      </c>
    </row>
    <row r="764" spans="1:17" hidden="1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f t="shared" si="11"/>
        <v>1</v>
      </c>
    </row>
    <row r="765" spans="1:17" hidden="1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f t="shared" si="11"/>
        <v>1</v>
      </c>
    </row>
    <row r="766" spans="1:17" hidden="1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f t="shared" si="11"/>
        <v>1</v>
      </c>
    </row>
    <row r="767" spans="1:17" hidden="1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f t="shared" si="11"/>
        <v>1</v>
      </c>
    </row>
    <row r="768" spans="1:17" hidden="1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f t="shared" si="11"/>
        <v>1</v>
      </c>
    </row>
    <row r="769" spans="1:17" hidden="1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f t="shared" si="11"/>
        <v>1</v>
      </c>
    </row>
    <row r="770" spans="1:17" hidden="1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f t="shared" si="11"/>
        <v>1</v>
      </c>
    </row>
    <row r="771" spans="1:17" hidden="1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f t="shared" ref="Q771:Q834" si="12">COUNTIF(A:A,A771)</f>
        <v>1</v>
      </c>
    </row>
    <row r="772" spans="1:17" hidden="1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f t="shared" si="12"/>
        <v>1</v>
      </c>
    </row>
    <row r="773" spans="1:17" hidden="1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f t="shared" si="12"/>
        <v>1</v>
      </c>
    </row>
    <row r="774" spans="1:17" hidden="1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f t="shared" si="12"/>
        <v>1</v>
      </c>
    </row>
    <row r="775" spans="1:17" hidden="1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f t="shared" si="12"/>
        <v>1</v>
      </c>
    </row>
    <row r="776" spans="1:17" hidden="1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f t="shared" si="12"/>
        <v>1</v>
      </c>
    </row>
    <row r="777" spans="1:17" hidden="1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f t="shared" si="12"/>
        <v>1</v>
      </c>
    </row>
    <row r="778" spans="1:17" hidden="1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f t="shared" si="12"/>
        <v>1</v>
      </c>
    </row>
    <row r="779" spans="1:17" hidden="1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f t="shared" si="12"/>
        <v>1</v>
      </c>
    </row>
    <row r="780" spans="1:17" hidden="1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f t="shared" si="12"/>
        <v>1</v>
      </c>
    </row>
    <row r="781" spans="1:17" hidden="1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f t="shared" si="12"/>
        <v>1</v>
      </c>
    </row>
    <row r="782" spans="1:17" hidden="1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f t="shared" si="12"/>
        <v>1</v>
      </c>
    </row>
    <row r="783" spans="1:17" hidden="1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f t="shared" si="12"/>
        <v>1</v>
      </c>
    </row>
    <row r="784" spans="1:17" hidden="1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f t="shared" si="12"/>
        <v>1</v>
      </c>
    </row>
    <row r="785" spans="1:17" hidden="1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f t="shared" si="12"/>
        <v>1</v>
      </c>
    </row>
    <row r="786" spans="1:17" hidden="1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f t="shared" si="12"/>
        <v>1</v>
      </c>
    </row>
    <row r="787" spans="1:17" hidden="1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f t="shared" si="12"/>
        <v>1</v>
      </c>
    </row>
    <row r="788" spans="1:17" hidden="1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f t="shared" si="12"/>
        <v>1</v>
      </c>
    </row>
    <row r="789" spans="1:17" hidden="1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f t="shared" si="12"/>
        <v>1</v>
      </c>
    </row>
    <row r="790" spans="1:17" hidden="1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f t="shared" si="12"/>
        <v>1</v>
      </c>
    </row>
    <row r="791" spans="1:17" hidden="1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f t="shared" si="12"/>
        <v>1</v>
      </c>
    </row>
    <row r="792" spans="1:17" hidden="1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f t="shared" si="12"/>
        <v>1</v>
      </c>
    </row>
    <row r="793" spans="1:17" hidden="1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f t="shared" si="12"/>
        <v>1</v>
      </c>
    </row>
    <row r="794" spans="1:17" hidden="1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f t="shared" si="12"/>
        <v>1</v>
      </c>
    </row>
    <row r="795" spans="1:17" hidden="1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f t="shared" si="12"/>
        <v>1</v>
      </c>
    </row>
    <row r="796" spans="1:17" hidden="1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f t="shared" si="12"/>
        <v>1</v>
      </c>
    </row>
    <row r="797" spans="1:17" hidden="1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f t="shared" si="12"/>
        <v>1</v>
      </c>
    </row>
    <row r="798" spans="1:17" hidden="1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f t="shared" si="12"/>
        <v>1</v>
      </c>
    </row>
    <row r="799" spans="1:17" hidden="1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f t="shared" si="12"/>
        <v>1</v>
      </c>
    </row>
    <row r="800" spans="1:17" hidden="1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f t="shared" si="12"/>
        <v>1</v>
      </c>
    </row>
    <row r="801" spans="1:17" hidden="1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f t="shared" si="12"/>
        <v>1</v>
      </c>
    </row>
    <row r="802" spans="1:17" hidden="1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f t="shared" si="12"/>
        <v>1</v>
      </c>
    </row>
    <row r="803" spans="1:17" hidden="1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f t="shared" si="12"/>
        <v>1</v>
      </c>
    </row>
    <row r="804" spans="1:17" hidden="1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f t="shared" si="12"/>
        <v>1</v>
      </c>
    </row>
    <row r="805" spans="1:17" hidden="1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f t="shared" si="12"/>
        <v>1</v>
      </c>
    </row>
    <row r="806" spans="1:17" hidden="1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f t="shared" si="12"/>
        <v>1</v>
      </c>
    </row>
    <row r="807" spans="1:17" hidden="1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f t="shared" si="12"/>
        <v>1</v>
      </c>
    </row>
    <row r="808" spans="1:17" hidden="1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f t="shared" si="12"/>
        <v>1</v>
      </c>
    </row>
    <row r="809" spans="1:17" hidden="1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f t="shared" si="12"/>
        <v>1</v>
      </c>
    </row>
    <row r="810" spans="1:17" hidden="1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f t="shared" si="12"/>
        <v>1</v>
      </c>
    </row>
    <row r="811" spans="1:17" hidden="1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f t="shared" si="12"/>
        <v>1</v>
      </c>
    </row>
    <row r="812" spans="1:17" hidden="1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f t="shared" si="12"/>
        <v>1</v>
      </c>
    </row>
    <row r="813" spans="1:17" hidden="1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f t="shared" si="12"/>
        <v>1</v>
      </c>
    </row>
    <row r="814" spans="1:17" hidden="1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f t="shared" si="12"/>
        <v>1</v>
      </c>
    </row>
    <row r="815" spans="1:17" hidden="1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f t="shared" si="12"/>
        <v>1</v>
      </c>
    </row>
    <row r="816" spans="1:17" hidden="1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f t="shared" si="12"/>
        <v>1</v>
      </c>
    </row>
    <row r="817" spans="1:17" hidden="1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f t="shared" si="12"/>
        <v>1</v>
      </c>
    </row>
    <row r="818" spans="1:17" hidden="1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f t="shared" si="12"/>
        <v>1</v>
      </c>
    </row>
    <row r="819" spans="1:17" hidden="1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f t="shared" si="12"/>
        <v>1</v>
      </c>
    </row>
    <row r="820" spans="1:17" hidden="1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f t="shared" si="12"/>
        <v>1</v>
      </c>
    </row>
    <row r="821" spans="1:17" hidden="1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f t="shared" si="12"/>
        <v>1</v>
      </c>
    </row>
    <row r="822" spans="1:17" hidden="1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f t="shared" si="12"/>
        <v>1</v>
      </c>
    </row>
    <row r="823" spans="1:17" hidden="1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f t="shared" si="12"/>
        <v>1</v>
      </c>
    </row>
    <row r="824" spans="1:17" hidden="1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f t="shared" si="12"/>
        <v>1</v>
      </c>
    </row>
    <row r="825" spans="1:17" hidden="1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f t="shared" si="12"/>
        <v>1</v>
      </c>
    </row>
    <row r="826" spans="1:17" hidden="1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f t="shared" si="12"/>
        <v>1</v>
      </c>
    </row>
    <row r="827" spans="1:17" hidden="1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f t="shared" si="12"/>
        <v>1</v>
      </c>
    </row>
    <row r="828" spans="1:17" hidden="1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f t="shared" si="12"/>
        <v>1</v>
      </c>
    </row>
    <row r="829" spans="1:17" hidden="1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f t="shared" si="12"/>
        <v>1</v>
      </c>
    </row>
    <row r="830" spans="1:17" hidden="1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f t="shared" si="12"/>
        <v>1</v>
      </c>
    </row>
    <row r="831" spans="1:17" hidden="1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f t="shared" si="12"/>
        <v>1</v>
      </c>
    </row>
    <row r="832" spans="1:17" hidden="1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f t="shared" si="12"/>
        <v>1</v>
      </c>
    </row>
    <row r="833" spans="1:17" hidden="1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f t="shared" si="12"/>
        <v>1</v>
      </c>
    </row>
    <row r="834" spans="1:17" hidden="1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f t="shared" si="12"/>
        <v>1</v>
      </c>
    </row>
    <row r="835" spans="1:17" hidden="1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f t="shared" ref="Q835:Q898" si="13">COUNTIF(A:A,A835)</f>
        <v>1</v>
      </c>
    </row>
    <row r="836" spans="1:17" hidden="1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f t="shared" si="13"/>
        <v>1</v>
      </c>
    </row>
    <row r="837" spans="1:17" hidden="1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f t="shared" si="13"/>
        <v>1</v>
      </c>
    </row>
    <row r="838" spans="1:17" hidden="1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f t="shared" si="13"/>
        <v>1</v>
      </c>
    </row>
    <row r="839" spans="1:17" hidden="1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f t="shared" si="13"/>
        <v>1</v>
      </c>
    </row>
    <row r="840" spans="1:17" hidden="1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f t="shared" si="13"/>
        <v>1</v>
      </c>
    </row>
    <row r="841" spans="1:17" hidden="1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f t="shared" si="13"/>
        <v>1</v>
      </c>
    </row>
    <row r="842" spans="1:17" hidden="1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f t="shared" si="13"/>
        <v>1</v>
      </c>
    </row>
    <row r="843" spans="1:17" hidden="1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f t="shared" si="13"/>
        <v>1</v>
      </c>
    </row>
    <row r="844" spans="1:17" hidden="1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f t="shared" si="13"/>
        <v>1</v>
      </c>
    </row>
    <row r="845" spans="1:17" hidden="1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f t="shared" si="13"/>
        <v>1</v>
      </c>
    </row>
    <row r="846" spans="1:17" hidden="1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f t="shared" si="13"/>
        <v>1</v>
      </c>
    </row>
    <row r="847" spans="1:17" hidden="1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f t="shared" si="13"/>
        <v>1</v>
      </c>
    </row>
    <row r="848" spans="1:17" hidden="1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f t="shared" si="13"/>
        <v>1</v>
      </c>
    </row>
    <row r="849" spans="1:17" hidden="1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f t="shared" si="13"/>
        <v>1</v>
      </c>
    </row>
    <row r="850" spans="1:17" hidden="1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f t="shared" si="13"/>
        <v>1</v>
      </c>
    </row>
    <row r="851" spans="1:17" hidden="1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f t="shared" si="13"/>
        <v>1</v>
      </c>
    </row>
    <row r="852" spans="1:17" hidden="1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f t="shared" si="13"/>
        <v>1</v>
      </c>
    </row>
    <row r="853" spans="1:17" hidden="1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f t="shared" si="13"/>
        <v>1</v>
      </c>
    </row>
    <row r="854" spans="1:17" hidden="1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f t="shared" si="13"/>
        <v>1</v>
      </c>
    </row>
    <row r="855" spans="1:17" hidden="1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f t="shared" si="13"/>
        <v>1</v>
      </c>
    </row>
    <row r="856" spans="1:17" hidden="1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f t="shared" si="13"/>
        <v>1</v>
      </c>
    </row>
    <row r="857" spans="1:17" hidden="1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f t="shared" si="13"/>
        <v>1</v>
      </c>
    </row>
    <row r="858" spans="1:17" hidden="1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f t="shared" si="13"/>
        <v>1</v>
      </c>
    </row>
    <row r="859" spans="1:17" hidden="1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f t="shared" si="13"/>
        <v>1</v>
      </c>
    </row>
    <row r="860" spans="1:17" hidden="1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f t="shared" si="13"/>
        <v>1</v>
      </c>
    </row>
    <row r="861" spans="1:17" hidden="1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f t="shared" si="13"/>
        <v>1</v>
      </c>
    </row>
    <row r="862" spans="1:17" hidden="1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f t="shared" si="13"/>
        <v>1</v>
      </c>
    </row>
    <row r="863" spans="1:17" hidden="1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f t="shared" si="13"/>
        <v>1</v>
      </c>
    </row>
    <row r="864" spans="1:17" hidden="1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f t="shared" si="13"/>
        <v>1</v>
      </c>
    </row>
    <row r="865" spans="1:17" hidden="1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f t="shared" si="13"/>
        <v>1</v>
      </c>
    </row>
    <row r="866" spans="1:17" hidden="1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f t="shared" si="13"/>
        <v>1</v>
      </c>
    </row>
    <row r="867" spans="1:17" hidden="1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f t="shared" si="13"/>
        <v>1</v>
      </c>
    </row>
    <row r="868" spans="1:17" hidden="1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f t="shared" si="13"/>
        <v>1</v>
      </c>
    </row>
    <row r="869" spans="1:17" hidden="1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f t="shared" si="13"/>
        <v>1</v>
      </c>
    </row>
    <row r="870" spans="1:17" hidden="1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f t="shared" si="13"/>
        <v>1</v>
      </c>
    </row>
    <row r="871" spans="1:17" hidden="1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f t="shared" si="13"/>
        <v>1</v>
      </c>
    </row>
    <row r="872" spans="1:17" hidden="1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f t="shared" si="13"/>
        <v>1</v>
      </c>
    </row>
    <row r="873" spans="1:17" hidden="1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f t="shared" si="13"/>
        <v>1</v>
      </c>
    </row>
    <row r="874" spans="1:17" hidden="1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f t="shared" si="13"/>
        <v>1</v>
      </c>
    </row>
    <row r="875" spans="1:17" hidden="1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f t="shared" si="13"/>
        <v>1</v>
      </c>
    </row>
    <row r="876" spans="1:17" hidden="1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f t="shared" si="13"/>
        <v>1</v>
      </c>
    </row>
    <row r="877" spans="1:17" hidden="1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f t="shared" si="13"/>
        <v>1</v>
      </c>
    </row>
    <row r="878" spans="1:17" hidden="1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f t="shared" si="13"/>
        <v>1</v>
      </c>
    </row>
    <row r="879" spans="1:17" hidden="1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f t="shared" si="13"/>
        <v>1</v>
      </c>
    </row>
    <row r="880" spans="1:17" hidden="1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f t="shared" si="13"/>
        <v>1</v>
      </c>
    </row>
    <row r="881" spans="1:17" hidden="1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f t="shared" si="13"/>
        <v>1</v>
      </c>
    </row>
    <row r="882" spans="1:17" hidden="1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f t="shared" si="13"/>
        <v>1</v>
      </c>
    </row>
    <row r="883" spans="1:17" hidden="1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f t="shared" si="13"/>
        <v>1</v>
      </c>
    </row>
    <row r="884" spans="1:17" hidden="1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f t="shared" si="13"/>
        <v>1</v>
      </c>
    </row>
    <row r="885" spans="1:17" hidden="1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f t="shared" si="13"/>
        <v>1</v>
      </c>
    </row>
    <row r="886" spans="1:17" hidden="1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f t="shared" si="13"/>
        <v>1</v>
      </c>
    </row>
    <row r="887" spans="1:17" hidden="1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f t="shared" si="13"/>
        <v>1</v>
      </c>
    </row>
    <row r="888" spans="1:17" hidden="1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f t="shared" si="13"/>
        <v>1</v>
      </c>
    </row>
    <row r="889" spans="1:17" hidden="1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f t="shared" si="13"/>
        <v>1</v>
      </c>
    </row>
    <row r="890" spans="1:17" hidden="1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f t="shared" si="13"/>
        <v>1</v>
      </c>
    </row>
    <row r="891" spans="1:17" hidden="1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f t="shared" si="13"/>
        <v>1</v>
      </c>
    </row>
    <row r="892" spans="1:17" hidden="1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f t="shared" si="13"/>
        <v>1</v>
      </c>
    </row>
    <row r="893" spans="1:17" hidden="1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f t="shared" si="13"/>
        <v>1</v>
      </c>
    </row>
    <row r="894" spans="1:17" hidden="1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f t="shared" si="13"/>
        <v>1</v>
      </c>
    </row>
    <row r="895" spans="1:17" hidden="1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f t="shared" si="13"/>
        <v>1</v>
      </c>
    </row>
    <row r="896" spans="1:17" hidden="1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f t="shared" si="13"/>
        <v>1</v>
      </c>
    </row>
    <row r="897" spans="1:17" hidden="1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f t="shared" si="13"/>
        <v>1</v>
      </c>
    </row>
    <row r="898" spans="1:17" hidden="1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f t="shared" si="13"/>
        <v>1</v>
      </c>
    </row>
    <row r="899" spans="1:17" hidden="1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f t="shared" ref="Q899:Q962" si="14">COUNTIF(A:A,A899)</f>
        <v>1</v>
      </c>
    </row>
    <row r="900" spans="1:17" hidden="1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f t="shared" si="14"/>
        <v>1</v>
      </c>
    </row>
    <row r="901" spans="1:17" hidden="1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f t="shared" si="14"/>
        <v>1</v>
      </c>
    </row>
    <row r="902" spans="1:17" hidden="1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f t="shared" si="14"/>
        <v>1</v>
      </c>
    </row>
    <row r="903" spans="1:17" hidden="1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f t="shared" si="14"/>
        <v>1</v>
      </c>
    </row>
    <row r="904" spans="1:17" hidden="1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f t="shared" si="14"/>
        <v>1</v>
      </c>
    </row>
    <row r="905" spans="1:17" hidden="1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f t="shared" si="14"/>
        <v>1</v>
      </c>
    </row>
    <row r="906" spans="1:17" hidden="1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f t="shared" si="14"/>
        <v>1</v>
      </c>
    </row>
    <row r="907" spans="1:17" hidden="1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f t="shared" si="14"/>
        <v>1</v>
      </c>
    </row>
    <row r="908" spans="1:17" hidden="1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f t="shared" si="14"/>
        <v>1</v>
      </c>
    </row>
    <row r="909" spans="1:17" hidden="1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f t="shared" si="14"/>
        <v>1</v>
      </c>
    </row>
    <row r="910" spans="1:17" hidden="1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f t="shared" si="14"/>
        <v>1</v>
      </c>
    </row>
    <row r="911" spans="1:17" hidden="1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f t="shared" si="14"/>
        <v>1</v>
      </c>
    </row>
    <row r="912" spans="1:17" hidden="1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f t="shared" si="14"/>
        <v>1</v>
      </c>
    </row>
    <row r="913" spans="1:17" hidden="1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f t="shared" si="14"/>
        <v>1</v>
      </c>
    </row>
    <row r="914" spans="1:17" hidden="1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f t="shared" si="14"/>
        <v>1</v>
      </c>
    </row>
    <row r="915" spans="1:17" hidden="1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f t="shared" si="14"/>
        <v>1</v>
      </c>
    </row>
    <row r="916" spans="1:17" hidden="1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f t="shared" si="14"/>
        <v>1</v>
      </c>
    </row>
    <row r="917" spans="1:17" hidden="1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f t="shared" si="14"/>
        <v>1</v>
      </c>
    </row>
    <row r="918" spans="1:17" hidden="1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f t="shared" si="14"/>
        <v>2</v>
      </c>
    </row>
    <row r="919" spans="1:17" hidden="1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f t="shared" si="14"/>
        <v>1</v>
      </c>
    </row>
    <row r="920" spans="1:17" hidden="1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f t="shared" si="14"/>
        <v>1</v>
      </c>
    </row>
    <row r="921" spans="1:17" hidden="1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f t="shared" si="14"/>
        <v>1</v>
      </c>
    </row>
    <row r="922" spans="1:17" hidden="1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f t="shared" si="14"/>
        <v>1</v>
      </c>
    </row>
    <row r="923" spans="1:17" hidden="1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f t="shared" si="14"/>
        <v>1</v>
      </c>
    </row>
    <row r="924" spans="1:17" hidden="1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f t="shared" si="14"/>
        <v>1</v>
      </c>
    </row>
    <row r="925" spans="1:17" hidden="1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f t="shared" si="14"/>
        <v>1</v>
      </c>
    </row>
    <row r="926" spans="1:17" hidden="1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f t="shared" si="14"/>
        <v>1</v>
      </c>
    </row>
    <row r="927" spans="1:17" hidden="1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f t="shared" si="14"/>
        <v>1</v>
      </c>
    </row>
    <row r="928" spans="1:17" hidden="1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f t="shared" si="14"/>
        <v>1</v>
      </c>
    </row>
    <row r="929" spans="1:17" hidden="1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f t="shared" si="14"/>
        <v>1</v>
      </c>
    </row>
    <row r="930" spans="1:17" hidden="1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f t="shared" si="14"/>
        <v>1</v>
      </c>
    </row>
    <row r="931" spans="1:17" hidden="1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f t="shared" si="14"/>
        <v>1</v>
      </c>
    </row>
    <row r="932" spans="1:17" hidden="1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f t="shared" si="14"/>
        <v>1</v>
      </c>
    </row>
    <row r="933" spans="1:17" hidden="1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f t="shared" si="14"/>
        <v>1</v>
      </c>
    </row>
    <row r="934" spans="1:17" hidden="1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f t="shared" si="14"/>
        <v>1</v>
      </c>
    </row>
    <row r="935" spans="1:17" hidden="1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f t="shared" si="14"/>
        <v>1</v>
      </c>
    </row>
    <row r="936" spans="1:17" hidden="1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f t="shared" si="14"/>
        <v>1</v>
      </c>
    </row>
    <row r="937" spans="1:17" hidden="1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f t="shared" si="14"/>
        <v>1</v>
      </c>
    </row>
    <row r="938" spans="1:17" hidden="1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f t="shared" si="14"/>
        <v>1</v>
      </c>
    </row>
    <row r="939" spans="1:17" hidden="1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f t="shared" si="14"/>
        <v>1</v>
      </c>
    </row>
    <row r="940" spans="1:17" hidden="1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f t="shared" si="14"/>
        <v>1</v>
      </c>
    </row>
    <row r="941" spans="1:17" hidden="1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f t="shared" si="14"/>
        <v>1</v>
      </c>
    </row>
    <row r="942" spans="1:17" hidden="1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f t="shared" si="14"/>
        <v>1</v>
      </c>
    </row>
    <row r="943" spans="1:17" hidden="1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f t="shared" si="14"/>
        <v>1</v>
      </c>
    </row>
    <row r="944" spans="1:17" hidden="1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f t="shared" si="14"/>
        <v>1</v>
      </c>
    </row>
    <row r="945" spans="1:17" hidden="1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f t="shared" si="14"/>
        <v>1</v>
      </c>
    </row>
    <row r="946" spans="1:17" hidden="1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f t="shared" si="14"/>
        <v>1</v>
      </c>
    </row>
    <row r="947" spans="1:17" hidden="1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f t="shared" si="14"/>
        <v>1</v>
      </c>
    </row>
    <row r="948" spans="1:17" hidden="1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f t="shared" si="14"/>
        <v>1</v>
      </c>
    </row>
    <row r="949" spans="1:17" hidden="1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f t="shared" si="14"/>
        <v>1</v>
      </c>
    </row>
    <row r="950" spans="1:17" hidden="1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f t="shared" si="14"/>
        <v>1</v>
      </c>
    </row>
    <row r="951" spans="1:17" hidden="1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f t="shared" si="14"/>
        <v>1</v>
      </c>
    </row>
    <row r="952" spans="1:17" hidden="1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f t="shared" si="14"/>
        <v>1</v>
      </c>
    </row>
    <row r="953" spans="1:17" hidden="1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f t="shared" si="14"/>
        <v>1</v>
      </c>
    </row>
    <row r="954" spans="1:17" hidden="1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f t="shared" si="14"/>
        <v>1</v>
      </c>
    </row>
    <row r="955" spans="1:17" hidden="1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f t="shared" si="14"/>
        <v>1</v>
      </c>
    </row>
    <row r="956" spans="1:17" hidden="1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f t="shared" si="14"/>
        <v>1</v>
      </c>
    </row>
    <row r="957" spans="1:17" hidden="1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f t="shared" si="14"/>
        <v>1</v>
      </c>
    </row>
    <row r="958" spans="1:17" hidden="1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f t="shared" si="14"/>
        <v>1</v>
      </c>
    </row>
    <row r="959" spans="1:17" hidden="1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f t="shared" si="14"/>
        <v>1</v>
      </c>
    </row>
    <row r="960" spans="1:17" hidden="1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f t="shared" si="14"/>
        <v>1</v>
      </c>
    </row>
    <row r="961" spans="1:17" hidden="1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f t="shared" si="14"/>
        <v>1</v>
      </c>
    </row>
    <row r="962" spans="1:17" hidden="1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f t="shared" si="14"/>
        <v>1</v>
      </c>
    </row>
    <row r="963" spans="1:17" hidden="1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f t="shared" ref="Q963:Q1026" si="15">COUNTIF(A:A,A963)</f>
        <v>1</v>
      </c>
    </row>
    <row r="964" spans="1:17" hidden="1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f t="shared" si="15"/>
        <v>1</v>
      </c>
    </row>
    <row r="965" spans="1:17" hidden="1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f t="shared" si="15"/>
        <v>1</v>
      </c>
    </row>
    <row r="966" spans="1:17" hidden="1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f t="shared" si="15"/>
        <v>1</v>
      </c>
    </row>
    <row r="967" spans="1:17" hidden="1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f t="shared" si="15"/>
        <v>1</v>
      </c>
    </row>
    <row r="968" spans="1:17" hidden="1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f t="shared" si="15"/>
        <v>1</v>
      </c>
    </row>
    <row r="969" spans="1:17" hidden="1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f t="shared" si="15"/>
        <v>1</v>
      </c>
    </row>
    <row r="970" spans="1:17" hidden="1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f t="shared" si="15"/>
        <v>1</v>
      </c>
    </row>
    <row r="971" spans="1:17" hidden="1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f t="shared" si="15"/>
        <v>1</v>
      </c>
    </row>
    <row r="972" spans="1:17" hidden="1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f t="shared" si="15"/>
        <v>1</v>
      </c>
    </row>
    <row r="973" spans="1:17" hidden="1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f t="shared" si="15"/>
        <v>1</v>
      </c>
    </row>
    <row r="974" spans="1:17" hidden="1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f t="shared" si="15"/>
        <v>1</v>
      </c>
    </row>
    <row r="975" spans="1:17" hidden="1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f t="shared" si="15"/>
        <v>1</v>
      </c>
    </row>
    <row r="976" spans="1:17" hidden="1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f t="shared" si="15"/>
        <v>1</v>
      </c>
    </row>
    <row r="977" spans="1:17" hidden="1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f t="shared" si="15"/>
        <v>1</v>
      </c>
    </row>
    <row r="978" spans="1:17" hidden="1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f t="shared" si="15"/>
        <v>1</v>
      </c>
    </row>
    <row r="979" spans="1:17" hidden="1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f t="shared" si="15"/>
        <v>1</v>
      </c>
    </row>
    <row r="980" spans="1:17" hidden="1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f t="shared" si="15"/>
        <v>1</v>
      </c>
    </row>
    <row r="981" spans="1:17" hidden="1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f t="shared" si="15"/>
        <v>1</v>
      </c>
    </row>
    <row r="982" spans="1:17" hidden="1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f t="shared" si="15"/>
        <v>1</v>
      </c>
    </row>
    <row r="983" spans="1:17" hidden="1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f t="shared" si="15"/>
        <v>1</v>
      </c>
    </row>
    <row r="984" spans="1:17" hidden="1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f t="shared" si="15"/>
        <v>1</v>
      </c>
    </row>
    <row r="985" spans="1:17" hidden="1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f t="shared" si="15"/>
        <v>1</v>
      </c>
    </row>
    <row r="986" spans="1:17" hidden="1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f t="shared" si="15"/>
        <v>1</v>
      </c>
    </row>
    <row r="987" spans="1:17" hidden="1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f t="shared" si="15"/>
        <v>1</v>
      </c>
    </row>
    <row r="988" spans="1:17" hidden="1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f t="shared" si="15"/>
        <v>1</v>
      </c>
    </row>
    <row r="989" spans="1:17" hidden="1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f t="shared" si="15"/>
        <v>1</v>
      </c>
    </row>
    <row r="990" spans="1:17" hidden="1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f t="shared" si="15"/>
        <v>1</v>
      </c>
    </row>
    <row r="991" spans="1:17" hidden="1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f t="shared" si="15"/>
        <v>1</v>
      </c>
    </row>
    <row r="992" spans="1:17" hidden="1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f t="shared" si="15"/>
        <v>1</v>
      </c>
    </row>
    <row r="993" spans="1:17" hidden="1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f t="shared" si="15"/>
        <v>1</v>
      </c>
    </row>
    <row r="994" spans="1:17" hidden="1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f t="shared" si="15"/>
        <v>1</v>
      </c>
    </row>
    <row r="995" spans="1:17" hidden="1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f t="shared" si="15"/>
        <v>1</v>
      </c>
    </row>
    <row r="996" spans="1:17" hidden="1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f t="shared" si="15"/>
        <v>1</v>
      </c>
    </row>
    <row r="997" spans="1:17" hidden="1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f t="shared" si="15"/>
        <v>1</v>
      </c>
    </row>
    <row r="998" spans="1:17" hidden="1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f t="shared" si="15"/>
        <v>1</v>
      </c>
    </row>
    <row r="999" spans="1:17" hidden="1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f t="shared" si="15"/>
        <v>1</v>
      </c>
    </row>
    <row r="1000" spans="1:17" hidden="1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f t="shared" si="15"/>
        <v>1</v>
      </c>
    </row>
    <row r="1001" spans="1:17" hidden="1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f t="shared" si="15"/>
        <v>1</v>
      </c>
    </row>
    <row r="1002" spans="1:17" hidden="1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f t="shared" si="15"/>
        <v>1</v>
      </c>
    </row>
    <row r="1003" spans="1:17" hidden="1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f t="shared" si="15"/>
        <v>1</v>
      </c>
    </row>
    <row r="1004" spans="1:17" hidden="1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f t="shared" si="15"/>
        <v>1</v>
      </c>
    </row>
    <row r="1005" spans="1:17" hidden="1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f t="shared" si="15"/>
        <v>1</v>
      </c>
    </row>
    <row r="1006" spans="1:17" hidden="1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f t="shared" si="15"/>
        <v>1</v>
      </c>
    </row>
    <row r="1007" spans="1:17" hidden="1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f t="shared" si="15"/>
        <v>1</v>
      </c>
    </row>
    <row r="1008" spans="1:17" hidden="1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f t="shared" si="15"/>
        <v>1</v>
      </c>
    </row>
    <row r="1009" spans="1:17" hidden="1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f t="shared" si="15"/>
        <v>1</v>
      </c>
    </row>
    <row r="1010" spans="1:17" hidden="1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f t="shared" si="15"/>
        <v>1</v>
      </c>
    </row>
    <row r="1011" spans="1:17" hidden="1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f t="shared" si="15"/>
        <v>1</v>
      </c>
    </row>
    <row r="1012" spans="1:17" hidden="1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f t="shared" si="15"/>
        <v>1</v>
      </c>
    </row>
    <row r="1013" spans="1:17" hidden="1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f t="shared" si="15"/>
        <v>1</v>
      </c>
    </row>
    <row r="1014" spans="1:17" hidden="1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f t="shared" si="15"/>
        <v>1</v>
      </c>
    </row>
    <row r="1015" spans="1:17" hidden="1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f t="shared" si="15"/>
        <v>1</v>
      </c>
    </row>
    <row r="1016" spans="1:17" hidden="1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f t="shared" si="15"/>
        <v>1</v>
      </c>
    </row>
    <row r="1017" spans="1:17" hidden="1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f t="shared" si="15"/>
        <v>1</v>
      </c>
    </row>
    <row r="1018" spans="1:17" hidden="1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f t="shared" si="15"/>
        <v>1</v>
      </c>
    </row>
    <row r="1019" spans="1:17" hidden="1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f t="shared" si="15"/>
        <v>1</v>
      </c>
    </row>
    <row r="1020" spans="1:17" hidden="1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f t="shared" si="15"/>
        <v>1</v>
      </c>
    </row>
    <row r="1021" spans="1:17" hidden="1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f t="shared" si="15"/>
        <v>1</v>
      </c>
    </row>
    <row r="1022" spans="1:17" hidden="1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f t="shared" si="15"/>
        <v>1</v>
      </c>
    </row>
    <row r="1023" spans="1:17" hidden="1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f t="shared" si="15"/>
        <v>1</v>
      </c>
    </row>
    <row r="1024" spans="1:17" hidden="1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f t="shared" si="15"/>
        <v>1</v>
      </c>
    </row>
    <row r="1025" spans="1:17" hidden="1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f t="shared" si="15"/>
        <v>1</v>
      </c>
    </row>
    <row r="1026" spans="1:17" hidden="1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f t="shared" si="15"/>
        <v>1</v>
      </c>
    </row>
    <row r="1027" spans="1:17" hidden="1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f t="shared" ref="Q1027:Q1090" si="16">COUNTIF(A:A,A1027)</f>
        <v>1</v>
      </c>
    </row>
    <row r="1028" spans="1:17" hidden="1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f t="shared" si="16"/>
        <v>1</v>
      </c>
    </row>
    <row r="1029" spans="1:17" hidden="1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f t="shared" si="16"/>
        <v>1</v>
      </c>
    </row>
    <row r="1030" spans="1:17" hidden="1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f t="shared" si="16"/>
        <v>1</v>
      </c>
    </row>
    <row r="1031" spans="1:17" hidden="1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f t="shared" si="16"/>
        <v>1</v>
      </c>
    </row>
    <row r="1032" spans="1:17" hidden="1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f t="shared" si="16"/>
        <v>1</v>
      </c>
    </row>
    <row r="1033" spans="1:17" hidden="1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f t="shared" si="16"/>
        <v>1</v>
      </c>
    </row>
    <row r="1034" spans="1:17" hidden="1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f t="shared" si="16"/>
        <v>1</v>
      </c>
    </row>
    <row r="1035" spans="1:17" hidden="1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f t="shared" si="16"/>
        <v>1</v>
      </c>
    </row>
    <row r="1036" spans="1:17" hidden="1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f t="shared" si="16"/>
        <v>1</v>
      </c>
    </row>
    <row r="1037" spans="1:17" hidden="1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f t="shared" si="16"/>
        <v>1</v>
      </c>
    </row>
    <row r="1038" spans="1:17" hidden="1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f t="shared" si="16"/>
        <v>1</v>
      </c>
    </row>
    <row r="1039" spans="1:17" hidden="1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f t="shared" si="16"/>
        <v>1</v>
      </c>
    </row>
    <row r="1040" spans="1:17" hidden="1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f t="shared" si="16"/>
        <v>1</v>
      </c>
    </row>
    <row r="1041" spans="1:17" hidden="1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f t="shared" si="16"/>
        <v>1</v>
      </c>
    </row>
    <row r="1042" spans="1:17" hidden="1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f t="shared" si="16"/>
        <v>1</v>
      </c>
    </row>
    <row r="1043" spans="1:17" hidden="1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f t="shared" si="16"/>
        <v>1</v>
      </c>
    </row>
    <row r="1044" spans="1:17" hidden="1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f t="shared" si="16"/>
        <v>1</v>
      </c>
    </row>
    <row r="1045" spans="1:17" hidden="1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f t="shared" si="16"/>
        <v>1</v>
      </c>
    </row>
    <row r="1046" spans="1:17" hidden="1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f t="shared" si="16"/>
        <v>1</v>
      </c>
    </row>
    <row r="1047" spans="1:17" hidden="1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f t="shared" si="16"/>
        <v>1</v>
      </c>
    </row>
    <row r="1048" spans="1:17" hidden="1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f t="shared" si="16"/>
        <v>1</v>
      </c>
    </row>
    <row r="1049" spans="1:17" hidden="1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f t="shared" si="16"/>
        <v>1</v>
      </c>
    </row>
    <row r="1050" spans="1:17" hidden="1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f t="shared" si="16"/>
        <v>1</v>
      </c>
    </row>
    <row r="1051" spans="1:17" hidden="1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f t="shared" si="16"/>
        <v>1</v>
      </c>
    </row>
    <row r="1052" spans="1:17" hidden="1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f t="shared" si="16"/>
        <v>1</v>
      </c>
    </row>
    <row r="1053" spans="1:17" hidden="1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f t="shared" si="16"/>
        <v>1</v>
      </c>
    </row>
    <row r="1054" spans="1:17" hidden="1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f t="shared" si="16"/>
        <v>1</v>
      </c>
    </row>
    <row r="1055" spans="1:17" hidden="1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f t="shared" si="16"/>
        <v>1</v>
      </c>
    </row>
    <row r="1056" spans="1:17" hidden="1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f t="shared" si="16"/>
        <v>1</v>
      </c>
    </row>
    <row r="1057" spans="1:17" hidden="1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f t="shared" si="16"/>
        <v>1</v>
      </c>
    </row>
    <row r="1058" spans="1:17" hidden="1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f t="shared" si="16"/>
        <v>1</v>
      </c>
    </row>
    <row r="1059" spans="1:17" hidden="1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f t="shared" si="16"/>
        <v>1</v>
      </c>
    </row>
    <row r="1060" spans="1:17" hidden="1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f t="shared" si="16"/>
        <v>2</v>
      </c>
    </row>
    <row r="1061" spans="1:17" hidden="1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f t="shared" si="16"/>
        <v>1</v>
      </c>
    </row>
    <row r="1062" spans="1:17" hidden="1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f t="shared" si="16"/>
        <v>1</v>
      </c>
    </row>
    <row r="1063" spans="1:17" hidden="1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f t="shared" si="16"/>
        <v>1</v>
      </c>
    </row>
    <row r="1064" spans="1:17" hidden="1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f t="shared" si="16"/>
        <v>1</v>
      </c>
    </row>
    <row r="1065" spans="1:17" hidden="1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f t="shared" si="16"/>
        <v>1</v>
      </c>
    </row>
    <row r="1066" spans="1:17" hidden="1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f t="shared" si="16"/>
        <v>1</v>
      </c>
    </row>
    <row r="1067" spans="1:17" hidden="1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f t="shared" si="16"/>
        <v>1</v>
      </c>
    </row>
    <row r="1068" spans="1:17" hidden="1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f t="shared" si="16"/>
        <v>1</v>
      </c>
    </row>
    <row r="1069" spans="1:17" hidden="1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f t="shared" si="16"/>
        <v>1</v>
      </c>
    </row>
    <row r="1070" spans="1:17" hidden="1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f t="shared" si="16"/>
        <v>1</v>
      </c>
    </row>
    <row r="1071" spans="1:17" hidden="1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f t="shared" si="16"/>
        <v>1</v>
      </c>
    </row>
    <row r="1072" spans="1:17" hidden="1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f t="shared" si="16"/>
        <v>1</v>
      </c>
    </row>
    <row r="1073" spans="1:17" hidden="1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f t="shared" si="16"/>
        <v>1</v>
      </c>
    </row>
    <row r="1074" spans="1:17" hidden="1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f t="shared" si="16"/>
        <v>1</v>
      </c>
    </row>
    <row r="1075" spans="1:17" hidden="1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f t="shared" si="16"/>
        <v>1</v>
      </c>
    </row>
    <row r="1076" spans="1:17" hidden="1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f t="shared" si="16"/>
        <v>1</v>
      </c>
    </row>
    <row r="1077" spans="1:17" hidden="1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f t="shared" si="16"/>
        <v>1</v>
      </c>
    </row>
    <row r="1078" spans="1:17" hidden="1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f t="shared" si="16"/>
        <v>1</v>
      </c>
    </row>
    <row r="1079" spans="1:17" hidden="1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f t="shared" si="16"/>
        <v>1</v>
      </c>
    </row>
    <row r="1080" spans="1:17" hidden="1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f t="shared" si="16"/>
        <v>1</v>
      </c>
    </row>
    <row r="1081" spans="1:17" hidden="1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f t="shared" si="16"/>
        <v>1</v>
      </c>
    </row>
    <row r="1082" spans="1:17" hidden="1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f t="shared" si="16"/>
        <v>1</v>
      </c>
    </row>
    <row r="1083" spans="1:17" hidden="1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f t="shared" si="16"/>
        <v>1</v>
      </c>
    </row>
    <row r="1084" spans="1:17" hidden="1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f t="shared" si="16"/>
        <v>1</v>
      </c>
    </row>
    <row r="1085" spans="1:17" hidden="1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f t="shared" si="16"/>
        <v>1</v>
      </c>
    </row>
    <row r="1086" spans="1:17" hidden="1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f t="shared" si="16"/>
        <v>1</v>
      </c>
    </row>
    <row r="1087" spans="1:17" hidden="1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f t="shared" si="16"/>
        <v>1</v>
      </c>
    </row>
    <row r="1088" spans="1:17" hidden="1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f t="shared" si="16"/>
        <v>1</v>
      </c>
    </row>
    <row r="1089" spans="1:17" hidden="1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f t="shared" si="16"/>
        <v>1</v>
      </c>
    </row>
    <row r="1090" spans="1:17" hidden="1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f t="shared" si="16"/>
        <v>1</v>
      </c>
    </row>
    <row r="1091" spans="1:17" hidden="1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f t="shared" ref="Q1091:Q1154" si="17">COUNTIF(A:A,A1091)</f>
        <v>1</v>
      </c>
    </row>
    <row r="1092" spans="1:17" hidden="1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f t="shared" si="17"/>
        <v>1</v>
      </c>
    </row>
    <row r="1093" spans="1:17" hidden="1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f t="shared" si="17"/>
        <v>1</v>
      </c>
    </row>
    <row r="1094" spans="1:17" hidden="1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f t="shared" si="17"/>
        <v>1</v>
      </c>
    </row>
    <row r="1095" spans="1:17" hidden="1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f t="shared" si="17"/>
        <v>1</v>
      </c>
    </row>
    <row r="1096" spans="1:17" hidden="1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f t="shared" si="17"/>
        <v>1</v>
      </c>
    </row>
    <row r="1097" spans="1:17" hidden="1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f t="shared" si="17"/>
        <v>1</v>
      </c>
    </row>
    <row r="1098" spans="1:17" hidden="1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f t="shared" si="17"/>
        <v>1</v>
      </c>
    </row>
    <row r="1099" spans="1:17" hidden="1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f t="shared" si="17"/>
        <v>1</v>
      </c>
    </row>
    <row r="1100" spans="1:17" hidden="1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f t="shared" si="17"/>
        <v>1</v>
      </c>
    </row>
    <row r="1101" spans="1:17" hidden="1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f t="shared" si="17"/>
        <v>1</v>
      </c>
    </row>
    <row r="1102" spans="1:17" hidden="1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f t="shared" si="17"/>
        <v>1</v>
      </c>
    </row>
    <row r="1103" spans="1:17" hidden="1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f t="shared" si="17"/>
        <v>1</v>
      </c>
    </row>
    <row r="1104" spans="1:17" hidden="1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f t="shared" si="17"/>
        <v>1</v>
      </c>
    </row>
    <row r="1105" spans="1:17" hidden="1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f t="shared" si="17"/>
        <v>1</v>
      </c>
    </row>
    <row r="1106" spans="1:17" hidden="1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f t="shared" si="17"/>
        <v>1</v>
      </c>
    </row>
    <row r="1107" spans="1:17" hidden="1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f t="shared" si="17"/>
        <v>1</v>
      </c>
    </row>
    <row r="1108" spans="1:17" hidden="1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f t="shared" si="17"/>
        <v>1</v>
      </c>
    </row>
    <row r="1109" spans="1:17" hidden="1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f t="shared" si="17"/>
        <v>1</v>
      </c>
    </row>
    <row r="1110" spans="1:17" hidden="1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f t="shared" si="17"/>
        <v>1</v>
      </c>
    </row>
    <row r="1111" spans="1:17" hidden="1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f t="shared" si="17"/>
        <v>1</v>
      </c>
    </row>
    <row r="1112" spans="1:17" hidden="1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f t="shared" si="17"/>
        <v>1</v>
      </c>
    </row>
    <row r="1113" spans="1:17" hidden="1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f t="shared" si="17"/>
        <v>1</v>
      </c>
    </row>
    <row r="1114" spans="1:17" hidden="1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f t="shared" si="17"/>
        <v>1</v>
      </c>
    </row>
    <row r="1115" spans="1:17" hidden="1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f t="shared" si="17"/>
        <v>1</v>
      </c>
    </row>
    <row r="1116" spans="1:17" hidden="1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f t="shared" si="17"/>
        <v>1</v>
      </c>
    </row>
    <row r="1117" spans="1:17" hidden="1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f t="shared" si="17"/>
        <v>1</v>
      </c>
    </row>
    <row r="1118" spans="1:17" hidden="1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f t="shared" si="17"/>
        <v>1</v>
      </c>
    </row>
    <row r="1119" spans="1:17" hidden="1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f t="shared" si="17"/>
        <v>1</v>
      </c>
    </row>
    <row r="1120" spans="1:17" hidden="1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f t="shared" si="17"/>
        <v>1</v>
      </c>
    </row>
    <row r="1121" spans="1:17" hidden="1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f t="shared" si="17"/>
        <v>1</v>
      </c>
    </row>
    <row r="1122" spans="1:17" hidden="1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f t="shared" si="17"/>
        <v>1</v>
      </c>
    </row>
    <row r="1123" spans="1:17" hidden="1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f t="shared" si="17"/>
        <v>1</v>
      </c>
    </row>
    <row r="1124" spans="1:17" hidden="1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f t="shared" si="17"/>
        <v>1</v>
      </c>
    </row>
    <row r="1125" spans="1:17" hidden="1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f t="shared" si="17"/>
        <v>1</v>
      </c>
    </row>
    <row r="1126" spans="1:17" hidden="1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f t="shared" si="17"/>
        <v>1</v>
      </c>
    </row>
    <row r="1127" spans="1:17" hidden="1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f t="shared" si="17"/>
        <v>1</v>
      </c>
    </row>
    <row r="1128" spans="1:17" hidden="1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f t="shared" si="17"/>
        <v>1</v>
      </c>
    </row>
    <row r="1129" spans="1:17" hidden="1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f t="shared" si="17"/>
        <v>1</v>
      </c>
    </row>
    <row r="1130" spans="1:17" hidden="1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f t="shared" si="17"/>
        <v>1</v>
      </c>
    </row>
    <row r="1131" spans="1:17" hidden="1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f t="shared" si="17"/>
        <v>1</v>
      </c>
    </row>
    <row r="1132" spans="1:17" hidden="1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f t="shared" si="17"/>
        <v>1</v>
      </c>
    </row>
    <row r="1133" spans="1:17" hidden="1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f t="shared" si="17"/>
        <v>1</v>
      </c>
    </row>
    <row r="1134" spans="1:17" hidden="1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f t="shared" si="17"/>
        <v>1</v>
      </c>
    </row>
    <row r="1135" spans="1:17" hidden="1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f t="shared" si="17"/>
        <v>1</v>
      </c>
    </row>
    <row r="1136" spans="1:17" hidden="1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f t="shared" si="17"/>
        <v>1</v>
      </c>
    </row>
    <row r="1137" spans="1:17" hidden="1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f t="shared" si="17"/>
        <v>1</v>
      </c>
    </row>
    <row r="1138" spans="1:17" hidden="1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f t="shared" si="17"/>
        <v>1</v>
      </c>
    </row>
    <row r="1139" spans="1:17" hidden="1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f t="shared" si="17"/>
        <v>1</v>
      </c>
    </row>
    <row r="1140" spans="1:17" hidden="1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f t="shared" si="17"/>
        <v>1</v>
      </c>
    </row>
    <row r="1141" spans="1:17" hidden="1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f t="shared" si="17"/>
        <v>1</v>
      </c>
    </row>
    <row r="1142" spans="1:17" hidden="1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f t="shared" si="17"/>
        <v>1</v>
      </c>
    </row>
    <row r="1143" spans="1:17" hidden="1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f t="shared" si="17"/>
        <v>1</v>
      </c>
    </row>
    <row r="1144" spans="1:17" hidden="1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f t="shared" si="17"/>
        <v>1</v>
      </c>
    </row>
    <row r="1145" spans="1:17" hidden="1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f t="shared" si="17"/>
        <v>1</v>
      </c>
    </row>
    <row r="1146" spans="1:17" hidden="1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f t="shared" si="17"/>
        <v>1</v>
      </c>
    </row>
    <row r="1147" spans="1:17" hidden="1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f t="shared" si="17"/>
        <v>1</v>
      </c>
    </row>
    <row r="1148" spans="1:17" hidden="1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f t="shared" si="17"/>
        <v>1</v>
      </c>
    </row>
    <row r="1149" spans="1:17" hidden="1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f t="shared" si="17"/>
        <v>1</v>
      </c>
    </row>
    <row r="1150" spans="1:17" hidden="1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f t="shared" si="17"/>
        <v>1</v>
      </c>
    </row>
    <row r="1151" spans="1:17" hidden="1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f t="shared" si="17"/>
        <v>1</v>
      </c>
    </row>
    <row r="1152" spans="1:17" hidden="1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f t="shared" si="17"/>
        <v>1</v>
      </c>
    </row>
    <row r="1153" spans="1:17" hidden="1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f t="shared" si="17"/>
        <v>1</v>
      </c>
    </row>
    <row r="1154" spans="1:17" hidden="1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f t="shared" si="17"/>
        <v>1</v>
      </c>
    </row>
    <row r="1155" spans="1:17" hidden="1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f t="shared" ref="Q1155:Q1218" si="18">COUNTIF(A:A,A1155)</f>
        <v>1</v>
      </c>
    </row>
    <row r="1156" spans="1:17" hidden="1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f t="shared" si="18"/>
        <v>1</v>
      </c>
    </row>
    <row r="1157" spans="1:17" hidden="1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f t="shared" si="18"/>
        <v>1</v>
      </c>
    </row>
    <row r="1158" spans="1:17" hidden="1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f t="shared" si="18"/>
        <v>1</v>
      </c>
    </row>
    <row r="1159" spans="1:17" hidden="1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f t="shared" si="18"/>
        <v>1</v>
      </c>
    </row>
    <row r="1160" spans="1:17" hidden="1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f t="shared" si="18"/>
        <v>1</v>
      </c>
    </row>
    <row r="1161" spans="1:17" hidden="1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f t="shared" si="18"/>
        <v>1</v>
      </c>
    </row>
    <row r="1162" spans="1:17" hidden="1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f t="shared" si="18"/>
        <v>1</v>
      </c>
    </row>
    <row r="1163" spans="1:17" hidden="1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f t="shared" si="18"/>
        <v>1</v>
      </c>
    </row>
    <row r="1164" spans="1:17" hidden="1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f t="shared" si="18"/>
        <v>1</v>
      </c>
    </row>
    <row r="1165" spans="1:17" hidden="1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f t="shared" si="18"/>
        <v>1</v>
      </c>
    </row>
    <row r="1166" spans="1:17" hidden="1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f t="shared" si="18"/>
        <v>1</v>
      </c>
    </row>
    <row r="1167" spans="1:17" hidden="1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f t="shared" si="18"/>
        <v>1</v>
      </c>
    </row>
    <row r="1168" spans="1:17" hidden="1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f t="shared" si="18"/>
        <v>1</v>
      </c>
    </row>
    <row r="1169" spans="1:17" hidden="1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f t="shared" si="18"/>
        <v>1</v>
      </c>
    </row>
    <row r="1170" spans="1:17" hidden="1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f t="shared" si="18"/>
        <v>1</v>
      </c>
    </row>
    <row r="1171" spans="1:17" hidden="1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f t="shared" si="18"/>
        <v>1</v>
      </c>
    </row>
    <row r="1172" spans="1:17" hidden="1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f t="shared" si="18"/>
        <v>1</v>
      </c>
    </row>
    <row r="1173" spans="1:17" hidden="1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f t="shared" si="18"/>
        <v>1</v>
      </c>
    </row>
    <row r="1174" spans="1:17" hidden="1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f t="shared" si="18"/>
        <v>1</v>
      </c>
    </row>
    <row r="1175" spans="1:17" hidden="1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f t="shared" si="18"/>
        <v>1</v>
      </c>
    </row>
    <row r="1176" spans="1:17" hidden="1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f t="shared" si="18"/>
        <v>1</v>
      </c>
    </row>
    <row r="1177" spans="1:17" hidden="1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f t="shared" si="18"/>
        <v>1</v>
      </c>
    </row>
    <row r="1178" spans="1:17" hidden="1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f t="shared" si="18"/>
        <v>1</v>
      </c>
    </row>
    <row r="1179" spans="1:17" hidden="1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f t="shared" si="18"/>
        <v>1</v>
      </c>
    </row>
    <row r="1180" spans="1:17" hidden="1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f t="shared" si="18"/>
        <v>1</v>
      </c>
    </row>
    <row r="1181" spans="1:17" hidden="1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f t="shared" si="18"/>
        <v>1</v>
      </c>
    </row>
    <row r="1182" spans="1:17" hidden="1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f t="shared" si="18"/>
        <v>1</v>
      </c>
    </row>
    <row r="1183" spans="1:17" hidden="1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f t="shared" si="18"/>
        <v>1</v>
      </c>
    </row>
    <row r="1184" spans="1:17" hidden="1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f t="shared" si="18"/>
        <v>1</v>
      </c>
    </row>
    <row r="1185" spans="1:17" hidden="1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f t="shared" si="18"/>
        <v>1</v>
      </c>
    </row>
    <row r="1186" spans="1:17" hidden="1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f t="shared" si="18"/>
        <v>1</v>
      </c>
    </row>
    <row r="1187" spans="1:17" hidden="1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f t="shared" si="18"/>
        <v>1</v>
      </c>
    </row>
    <row r="1188" spans="1:17" hidden="1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f t="shared" si="18"/>
        <v>1</v>
      </c>
    </row>
    <row r="1189" spans="1:17" hidden="1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f t="shared" si="18"/>
        <v>1</v>
      </c>
    </row>
    <row r="1190" spans="1:17" hidden="1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f t="shared" si="18"/>
        <v>1</v>
      </c>
    </row>
    <row r="1191" spans="1:17" hidden="1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f t="shared" si="18"/>
        <v>1</v>
      </c>
    </row>
    <row r="1192" spans="1:17" hidden="1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f t="shared" si="18"/>
        <v>1</v>
      </c>
    </row>
    <row r="1193" spans="1:17" hidden="1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f t="shared" si="18"/>
        <v>1</v>
      </c>
    </row>
    <row r="1194" spans="1:17" hidden="1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f t="shared" si="18"/>
        <v>1</v>
      </c>
    </row>
    <row r="1195" spans="1:17" hidden="1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f t="shared" si="18"/>
        <v>1</v>
      </c>
    </row>
    <row r="1196" spans="1:17" hidden="1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f t="shared" si="18"/>
        <v>1</v>
      </c>
    </row>
    <row r="1197" spans="1:17" hidden="1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f t="shared" si="18"/>
        <v>1</v>
      </c>
    </row>
    <row r="1198" spans="1:17" hidden="1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f t="shared" si="18"/>
        <v>1</v>
      </c>
    </row>
    <row r="1199" spans="1:17" hidden="1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f t="shared" si="18"/>
        <v>1</v>
      </c>
    </row>
    <row r="1200" spans="1:17" hidden="1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f t="shared" si="18"/>
        <v>1</v>
      </c>
    </row>
    <row r="1201" spans="1:17" hidden="1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f t="shared" si="18"/>
        <v>1</v>
      </c>
    </row>
    <row r="1202" spans="1:17" hidden="1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f t="shared" si="18"/>
        <v>1</v>
      </c>
    </row>
    <row r="1203" spans="1:17" hidden="1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f t="shared" si="18"/>
        <v>1</v>
      </c>
    </row>
    <row r="1204" spans="1:17" hidden="1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f t="shared" si="18"/>
        <v>1</v>
      </c>
    </row>
    <row r="1205" spans="1:17" hidden="1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f t="shared" si="18"/>
        <v>1</v>
      </c>
    </row>
    <row r="1206" spans="1:17" hidden="1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f t="shared" si="18"/>
        <v>1</v>
      </c>
    </row>
    <row r="1207" spans="1:17" hidden="1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f t="shared" si="18"/>
        <v>1</v>
      </c>
    </row>
    <row r="1208" spans="1:17" hidden="1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f t="shared" si="18"/>
        <v>1</v>
      </c>
    </row>
    <row r="1209" spans="1:17" hidden="1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f t="shared" si="18"/>
        <v>1</v>
      </c>
    </row>
    <row r="1210" spans="1:17" hidden="1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f t="shared" si="18"/>
        <v>1</v>
      </c>
    </row>
    <row r="1211" spans="1:17" hidden="1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f t="shared" si="18"/>
        <v>2</v>
      </c>
    </row>
    <row r="1212" spans="1:17" hidden="1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f t="shared" si="18"/>
        <v>1</v>
      </c>
    </row>
    <row r="1213" spans="1:17" hidden="1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f t="shared" si="18"/>
        <v>1</v>
      </c>
    </row>
    <row r="1214" spans="1:17" hidden="1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f t="shared" si="18"/>
        <v>1</v>
      </c>
    </row>
    <row r="1215" spans="1:17" hidden="1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f t="shared" si="18"/>
        <v>1</v>
      </c>
    </row>
    <row r="1216" spans="1:17" hidden="1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f t="shared" si="18"/>
        <v>1</v>
      </c>
    </row>
    <row r="1217" spans="1:17" hidden="1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f t="shared" si="18"/>
        <v>1</v>
      </c>
    </row>
    <row r="1218" spans="1:17" hidden="1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f t="shared" si="18"/>
        <v>1</v>
      </c>
    </row>
    <row r="1219" spans="1:17" hidden="1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f t="shared" ref="Q1219:Q1282" si="19">COUNTIF(A:A,A1219)</f>
        <v>1</v>
      </c>
    </row>
    <row r="1220" spans="1:17" hidden="1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f t="shared" si="19"/>
        <v>1</v>
      </c>
    </row>
    <row r="1221" spans="1:17" hidden="1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f t="shared" si="19"/>
        <v>1</v>
      </c>
    </row>
    <row r="1222" spans="1:17" hidden="1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f t="shared" si="19"/>
        <v>1</v>
      </c>
    </row>
    <row r="1223" spans="1:17" hidden="1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f t="shared" si="19"/>
        <v>1</v>
      </c>
    </row>
    <row r="1224" spans="1:17" hidden="1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f t="shared" si="19"/>
        <v>1</v>
      </c>
    </row>
    <row r="1225" spans="1:17" hidden="1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f t="shared" si="19"/>
        <v>1</v>
      </c>
    </row>
    <row r="1226" spans="1:17" hidden="1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f t="shared" si="19"/>
        <v>1</v>
      </c>
    </row>
    <row r="1227" spans="1:17" hidden="1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f t="shared" si="19"/>
        <v>1</v>
      </c>
    </row>
    <row r="1228" spans="1:17" hidden="1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f t="shared" si="19"/>
        <v>1</v>
      </c>
    </row>
    <row r="1229" spans="1:17" hidden="1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f t="shared" si="19"/>
        <v>1</v>
      </c>
    </row>
    <row r="1230" spans="1:17" hidden="1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f t="shared" si="19"/>
        <v>1</v>
      </c>
    </row>
    <row r="1231" spans="1:17" hidden="1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f t="shared" si="19"/>
        <v>1</v>
      </c>
    </row>
    <row r="1232" spans="1:17" hidden="1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f t="shared" si="19"/>
        <v>1</v>
      </c>
    </row>
    <row r="1233" spans="1:17" hidden="1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f t="shared" si="19"/>
        <v>2</v>
      </c>
    </row>
    <row r="1234" spans="1:17" hidden="1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f t="shared" si="19"/>
        <v>1</v>
      </c>
    </row>
    <row r="1235" spans="1:17" hidden="1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f t="shared" si="19"/>
        <v>1</v>
      </c>
    </row>
    <row r="1236" spans="1:17" hidden="1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f t="shared" si="19"/>
        <v>1</v>
      </c>
    </row>
    <row r="1237" spans="1:17" hidden="1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f t="shared" si="19"/>
        <v>1</v>
      </c>
    </row>
    <row r="1238" spans="1:17" hidden="1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f t="shared" si="19"/>
        <v>1</v>
      </c>
    </row>
    <row r="1239" spans="1:17" hidden="1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f t="shared" si="19"/>
        <v>1</v>
      </c>
    </row>
    <row r="1240" spans="1:17" hidden="1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f t="shared" si="19"/>
        <v>1</v>
      </c>
    </row>
    <row r="1241" spans="1:17" hidden="1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f t="shared" si="19"/>
        <v>1</v>
      </c>
    </row>
    <row r="1242" spans="1:17" hidden="1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f t="shared" si="19"/>
        <v>1</v>
      </c>
    </row>
    <row r="1243" spans="1:17" hidden="1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f t="shared" si="19"/>
        <v>1</v>
      </c>
    </row>
    <row r="1244" spans="1:17" hidden="1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f t="shared" si="19"/>
        <v>1</v>
      </c>
    </row>
    <row r="1245" spans="1:17" hidden="1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f t="shared" si="19"/>
        <v>1</v>
      </c>
    </row>
    <row r="1246" spans="1:17" hidden="1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f t="shared" si="19"/>
        <v>1</v>
      </c>
    </row>
    <row r="1247" spans="1:17" hidden="1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f t="shared" si="19"/>
        <v>1</v>
      </c>
    </row>
    <row r="1248" spans="1:17" hidden="1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f t="shared" si="19"/>
        <v>1</v>
      </c>
    </row>
    <row r="1249" spans="1:17" hidden="1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f t="shared" si="19"/>
        <v>1</v>
      </c>
    </row>
    <row r="1250" spans="1:17" hidden="1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f t="shared" si="19"/>
        <v>1</v>
      </c>
    </row>
    <row r="1251" spans="1:17" hidden="1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f t="shared" si="19"/>
        <v>1</v>
      </c>
    </row>
    <row r="1252" spans="1:17" hidden="1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f t="shared" si="19"/>
        <v>1</v>
      </c>
    </row>
    <row r="1253" spans="1:17" hidden="1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f t="shared" si="19"/>
        <v>1</v>
      </c>
    </row>
    <row r="1254" spans="1:17" hidden="1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f t="shared" si="19"/>
        <v>1</v>
      </c>
    </row>
    <row r="1255" spans="1:17" hidden="1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f t="shared" si="19"/>
        <v>1</v>
      </c>
    </row>
    <row r="1256" spans="1:17" hidden="1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f t="shared" si="19"/>
        <v>1</v>
      </c>
    </row>
    <row r="1257" spans="1:17" hidden="1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f t="shared" si="19"/>
        <v>1</v>
      </c>
    </row>
    <row r="1258" spans="1:17" hidden="1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f t="shared" si="19"/>
        <v>1</v>
      </c>
    </row>
    <row r="1259" spans="1:17" hidden="1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f t="shared" si="19"/>
        <v>1</v>
      </c>
    </row>
    <row r="1260" spans="1:17" hidden="1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f t="shared" si="19"/>
        <v>1</v>
      </c>
    </row>
    <row r="1261" spans="1:17" hidden="1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f t="shared" si="19"/>
        <v>1</v>
      </c>
    </row>
    <row r="1262" spans="1:17" hidden="1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f t="shared" si="19"/>
        <v>1</v>
      </c>
    </row>
    <row r="1263" spans="1:17" hidden="1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f t="shared" si="19"/>
        <v>1</v>
      </c>
    </row>
    <row r="1264" spans="1:17" hidden="1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f t="shared" si="19"/>
        <v>1</v>
      </c>
    </row>
    <row r="1265" spans="1:17" hidden="1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f t="shared" si="19"/>
        <v>1</v>
      </c>
    </row>
    <row r="1266" spans="1:17" hidden="1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f t="shared" si="19"/>
        <v>1</v>
      </c>
    </row>
    <row r="1267" spans="1:17" hidden="1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f t="shared" si="19"/>
        <v>1</v>
      </c>
    </row>
    <row r="1268" spans="1:17" hidden="1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f t="shared" si="19"/>
        <v>1</v>
      </c>
    </row>
    <row r="1269" spans="1:17" hidden="1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f t="shared" si="19"/>
        <v>1</v>
      </c>
    </row>
    <row r="1270" spans="1:17" hidden="1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f t="shared" si="19"/>
        <v>1</v>
      </c>
    </row>
    <row r="1271" spans="1:17" hidden="1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f t="shared" si="19"/>
        <v>1</v>
      </c>
    </row>
    <row r="1272" spans="1:17" hidden="1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f t="shared" si="19"/>
        <v>1</v>
      </c>
    </row>
    <row r="1273" spans="1:17" hidden="1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f t="shared" si="19"/>
        <v>1</v>
      </c>
    </row>
    <row r="1274" spans="1:17" hidden="1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f t="shared" si="19"/>
        <v>1</v>
      </c>
    </row>
    <row r="1275" spans="1:17" hidden="1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f t="shared" si="19"/>
        <v>1</v>
      </c>
    </row>
    <row r="1276" spans="1:17" hidden="1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f t="shared" si="19"/>
        <v>1</v>
      </c>
    </row>
    <row r="1277" spans="1:17" hidden="1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f t="shared" si="19"/>
        <v>1</v>
      </c>
    </row>
    <row r="1278" spans="1:17" hidden="1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f t="shared" si="19"/>
        <v>1</v>
      </c>
    </row>
    <row r="1279" spans="1:17" hidden="1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f t="shared" si="19"/>
        <v>1</v>
      </c>
    </row>
    <row r="1280" spans="1:17" hidden="1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f t="shared" si="19"/>
        <v>1</v>
      </c>
    </row>
    <row r="1281" spans="1:17" hidden="1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f t="shared" si="19"/>
        <v>1</v>
      </c>
    </row>
    <row r="1282" spans="1:17" hidden="1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f t="shared" si="19"/>
        <v>1</v>
      </c>
    </row>
    <row r="1283" spans="1:17" hidden="1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f t="shared" ref="Q1283:Q1346" si="20">COUNTIF(A:A,A1283)</f>
        <v>1</v>
      </c>
    </row>
    <row r="1284" spans="1:17" hidden="1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f t="shared" si="20"/>
        <v>1</v>
      </c>
    </row>
    <row r="1285" spans="1:17" hidden="1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f t="shared" si="20"/>
        <v>1</v>
      </c>
    </row>
    <row r="1286" spans="1:17" hidden="1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f t="shared" si="20"/>
        <v>1</v>
      </c>
    </row>
    <row r="1287" spans="1:17" hidden="1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f t="shared" si="20"/>
        <v>1</v>
      </c>
    </row>
    <row r="1288" spans="1:17" hidden="1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f t="shared" si="20"/>
        <v>1</v>
      </c>
    </row>
    <row r="1289" spans="1:17" hidden="1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f t="shared" si="20"/>
        <v>1</v>
      </c>
    </row>
    <row r="1290" spans="1:17" hidden="1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f t="shared" si="20"/>
        <v>1</v>
      </c>
    </row>
    <row r="1291" spans="1:17" hidden="1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f t="shared" si="20"/>
        <v>1</v>
      </c>
    </row>
    <row r="1292" spans="1:17" hidden="1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f t="shared" si="20"/>
        <v>1</v>
      </c>
    </row>
    <row r="1293" spans="1:17" hidden="1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f t="shared" si="20"/>
        <v>1</v>
      </c>
    </row>
    <row r="1294" spans="1:17" hidden="1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f t="shared" si="20"/>
        <v>1</v>
      </c>
    </row>
    <row r="1295" spans="1:17" hidden="1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f t="shared" si="20"/>
        <v>1</v>
      </c>
    </row>
    <row r="1296" spans="1:17" hidden="1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f t="shared" si="20"/>
        <v>1</v>
      </c>
    </row>
    <row r="1297" spans="1:17" hidden="1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f t="shared" si="20"/>
        <v>1</v>
      </c>
    </row>
    <row r="1298" spans="1:17" hidden="1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f t="shared" si="20"/>
        <v>1</v>
      </c>
    </row>
    <row r="1299" spans="1:17" hidden="1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f t="shared" si="20"/>
        <v>1</v>
      </c>
    </row>
    <row r="1300" spans="1:17" hidden="1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f t="shared" si="20"/>
        <v>1</v>
      </c>
    </row>
    <row r="1301" spans="1:17" hidden="1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f t="shared" si="20"/>
        <v>1</v>
      </c>
    </row>
    <row r="1302" spans="1:17" hidden="1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f t="shared" si="20"/>
        <v>1</v>
      </c>
    </row>
    <row r="1303" spans="1:17" hidden="1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f t="shared" si="20"/>
        <v>1</v>
      </c>
    </row>
    <row r="1304" spans="1:17" hidden="1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f t="shared" si="20"/>
        <v>1</v>
      </c>
    </row>
    <row r="1305" spans="1:17" hidden="1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f t="shared" si="20"/>
        <v>1</v>
      </c>
    </row>
    <row r="1306" spans="1:17" hidden="1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f t="shared" si="20"/>
        <v>1</v>
      </c>
    </row>
    <row r="1307" spans="1:17" hidden="1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f t="shared" si="20"/>
        <v>1</v>
      </c>
    </row>
    <row r="1308" spans="1:17" hidden="1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f t="shared" si="20"/>
        <v>1</v>
      </c>
    </row>
    <row r="1309" spans="1:17" hidden="1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f t="shared" si="20"/>
        <v>1</v>
      </c>
    </row>
    <row r="1310" spans="1:17" hidden="1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f t="shared" si="20"/>
        <v>1</v>
      </c>
    </row>
    <row r="1311" spans="1:17" hidden="1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f t="shared" si="20"/>
        <v>1</v>
      </c>
    </row>
    <row r="1312" spans="1:17" hidden="1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f t="shared" si="20"/>
        <v>1</v>
      </c>
    </row>
    <row r="1313" spans="1:17" hidden="1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f t="shared" si="20"/>
        <v>1</v>
      </c>
    </row>
    <row r="1314" spans="1:17" hidden="1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f t="shared" si="20"/>
        <v>1</v>
      </c>
    </row>
    <row r="1315" spans="1:17" hidden="1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f t="shared" si="20"/>
        <v>1</v>
      </c>
    </row>
    <row r="1316" spans="1:17" hidden="1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f t="shared" si="20"/>
        <v>1</v>
      </c>
    </row>
    <row r="1317" spans="1:17" hidden="1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f t="shared" si="20"/>
        <v>1</v>
      </c>
    </row>
    <row r="1318" spans="1:17" hidden="1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f t="shared" si="20"/>
        <v>1</v>
      </c>
    </row>
    <row r="1319" spans="1:17" hidden="1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f t="shared" si="20"/>
        <v>1</v>
      </c>
    </row>
    <row r="1320" spans="1:17" hidden="1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f t="shared" si="20"/>
        <v>1</v>
      </c>
    </row>
    <row r="1321" spans="1:17" hidden="1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f t="shared" si="20"/>
        <v>1</v>
      </c>
    </row>
    <row r="1322" spans="1:17" hidden="1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f t="shared" si="20"/>
        <v>1</v>
      </c>
    </row>
    <row r="1323" spans="1:17" hidden="1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f t="shared" si="20"/>
        <v>1</v>
      </c>
    </row>
    <row r="1324" spans="1:17" hidden="1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f t="shared" si="20"/>
        <v>1</v>
      </c>
    </row>
    <row r="1325" spans="1:17" hidden="1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f t="shared" si="20"/>
        <v>1</v>
      </c>
    </row>
    <row r="1326" spans="1:17" hidden="1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f t="shared" si="20"/>
        <v>1</v>
      </c>
    </row>
    <row r="1327" spans="1:17" hidden="1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f t="shared" si="20"/>
        <v>1</v>
      </c>
    </row>
    <row r="1328" spans="1:17" hidden="1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f t="shared" si="20"/>
        <v>1</v>
      </c>
    </row>
    <row r="1329" spans="1:17" hidden="1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f t="shared" si="20"/>
        <v>1</v>
      </c>
    </row>
    <row r="1330" spans="1:17" hidden="1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f t="shared" si="20"/>
        <v>1</v>
      </c>
    </row>
    <row r="1331" spans="1:17" hidden="1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f t="shared" si="20"/>
        <v>1</v>
      </c>
    </row>
    <row r="1332" spans="1:17" hidden="1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f t="shared" si="20"/>
        <v>1</v>
      </c>
    </row>
    <row r="1333" spans="1:17" hidden="1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f t="shared" si="20"/>
        <v>1</v>
      </c>
    </row>
    <row r="1334" spans="1:17" hidden="1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f t="shared" si="20"/>
        <v>1</v>
      </c>
    </row>
    <row r="1335" spans="1:17" hidden="1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f t="shared" si="20"/>
        <v>1</v>
      </c>
    </row>
    <row r="1336" spans="1:17" hidden="1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f t="shared" si="20"/>
        <v>1</v>
      </c>
    </row>
    <row r="1337" spans="1:17" hidden="1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f t="shared" si="20"/>
        <v>1</v>
      </c>
    </row>
    <row r="1338" spans="1:17" hidden="1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f t="shared" si="20"/>
        <v>1</v>
      </c>
    </row>
    <row r="1339" spans="1:17" hidden="1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f t="shared" si="20"/>
        <v>1</v>
      </c>
    </row>
    <row r="1340" spans="1:17" hidden="1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f t="shared" si="20"/>
        <v>1</v>
      </c>
    </row>
    <row r="1341" spans="1:17" hidden="1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f t="shared" si="20"/>
        <v>1</v>
      </c>
    </row>
    <row r="1342" spans="1:17" hidden="1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f t="shared" si="20"/>
        <v>1</v>
      </c>
    </row>
    <row r="1343" spans="1:17" hidden="1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f t="shared" si="20"/>
        <v>1</v>
      </c>
    </row>
    <row r="1344" spans="1:17" hidden="1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f t="shared" si="20"/>
        <v>1</v>
      </c>
    </row>
    <row r="1345" spans="1:17" hidden="1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f t="shared" si="20"/>
        <v>1</v>
      </c>
    </row>
    <row r="1346" spans="1:17" hidden="1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f t="shared" si="20"/>
        <v>1</v>
      </c>
    </row>
    <row r="1347" spans="1:17" hidden="1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f t="shared" ref="Q1347:Q1409" si="21">COUNTIF(A:A,A1347)</f>
        <v>1</v>
      </c>
    </row>
    <row r="1348" spans="1:17" hidden="1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f t="shared" si="21"/>
        <v>1</v>
      </c>
    </row>
    <row r="1349" spans="1:17" hidden="1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f t="shared" si="21"/>
        <v>1</v>
      </c>
    </row>
    <row r="1350" spans="1:17" hidden="1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f t="shared" si="21"/>
        <v>1</v>
      </c>
    </row>
    <row r="1351" spans="1:17" hidden="1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f t="shared" si="21"/>
        <v>1</v>
      </c>
    </row>
    <row r="1352" spans="1:17" hidden="1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f t="shared" si="21"/>
        <v>1</v>
      </c>
    </row>
    <row r="1353" spans="1:17" hidden="1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f t="shared" si="21"/>
        <v>1</v>
      </c>
    </row>
    <row r="1354" spans="1:17" hidden="1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f t="shared" si="21"/>
        <v>1</v>
      </c>
    </row>
    <row r="1355" spans="1:17" hidden="1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f t="shared" si="21"/>
        <v>1</v>
      </c>
    </row>
    <row r="1356" spans="1:17" hidden="1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f t="shared" si="21"/>
        <v>1</v>
      </c>
    </row>
    <row r="1357" spans="1:17" hidden="1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f t="shared" si="21"/>
        <v>1</v>
      </c>
    </row>
    <row r="1358" spans="1:17" hidden="1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f t="shared" si="21"/>
        <v>1</v>
      </c>
    </row>
    <row r="1359" spans="1:17" hidden="1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f t="shared" si="21"/>
        <v>1</v>
      </c>
    </row>
    <row r="1360" spans="1:17" hidden="1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f t="shared" si="21"/>
        <v>1</v>
      </c>
    </row>
    <row r="1361" spans="1:17" hidden="1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f t="shared" si="21"/>
        <v>1</v>
      </c>
    </row>
    <row r="1362" spans="1:17" hidden="1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f t="shared" si="21"/>
        <v>1</v>
      </c>
    </row>
    <row r="1363" spans="1:17" hidden="1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f t="shared" si="21"/>
        <v>2</v>
      </c>
    </row>
    <row r="1364" spans="1:17" hidden="1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f t="shared" si="21"/>
        <v>1</v>
      </c>
    </row>
    <row r="1365" spans="1:17" hidden="1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f t="shared" si="21"/>
        <v>1</v>
      </c>
    </row>
    <row r="1366" spans="1:17" hidden="1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f t="shared" si="21"/>
        <v>1</v>
      </c>
    </row>
    <row r="1367" spans="1:17" hidden="1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f t="shared" si="21"/>
        <v>1</v>
      </c>
    </row>
    <row r="1368" spans="1:17" hidden="1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f t="shared" si="21"/>
        <v>1</v>
      </c>
    </row>
    <row r="1369" spans="1:17" hidden="1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f t="shared" si="21"/>
        <v>1</v>
      </c>
    </row>
    <row r="1370" spans="1:17" hidden="1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f t="shared" si="21"/>
        <v>1</v>
      </c>
    </row>
    <row r="1371" spans="1:17" hidden="1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f t="shared" si="21"/>
        <v>1</v>
      </c>
    </row>
    <row r="1372" spans="1:17" hidden="1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f t="shared" si="21"/>
        <v>1</v>
      </c>
    </row>
    <row r="1373" spans="1:17" hidden="1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f t="shared" si="21"/>
        <v>1</v>
      </c>
    </row>
    <row r="1374" spans="1:17" hidden="1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f t="shared" si="21"/>
        <v>1</v>
      </c>
    </row>
    <row r="1375" spans="1:17" hidden="1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f t="shared" si="21"/>
        <v>1</v>
      </c>
    </row>
    <row r="1376" spans="1:17" hidden="1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f t="shared" si="21"/>
        <v>1</v>
      </c>
    </row>
    <row r="1377" spans="1:21" hidden="1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f t="shared" si="21"/>
        <v>1</v>
      </c>
    </row>
    <row r="1378" spans="1:21" hidden="1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f t="shared" si="21"/>
        <v>1</v>
      </c>
    </row>
    <row r="1379" spans="1:21" hidden="1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f t="shared" si="21"/>
        <v>1</v>
      </c>
    </row>
    <row r="1380" spans="1:21" hidden="1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f t="shared" si="21"/>
        <v>1</v>
      </c>
    </row>
    <row r="1381" spans="1:21" hidden="1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f t="shared" si="21"/>
        <v>1</v>
      </c>
    </row>
    <row r="1382" spans="1:21" hidden="1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f t="shared" si="21"/>
        <v>1</v>
      </c>
      <c r="U1382">
        <f>COUNTIFS(C:C,"Treatment",H:H,1)</f>
        <v>519</v>
      </c>
    </row>
    <row r="1383" spans="1:21" hidden="1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f t="shared" si="21"/>
        <v>1</v>
      </c>
    </row>
    <row r="1384" spans="1:21" hidden="1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f t="shared" si="21"/>
        <v>1</v>
      </c>
    </row>
    <row r="1385" spans="1:21" hidden="1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f t="shared" si="21"/>
        <v>1</v>
      </c>
    </row>
    <row r="1386" spans="1:21" hidden="1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f t="shared" si="21"/>
        <v>1</v>
      </c>
    </row>
    <row r="1387" spans="1:21" hidden="1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f t="shared" si="21"/>
        <v>1</v>
      </c>
    </row>
    <row r="1388" spans="1:21" hidden="1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f t="shared" si="21"/>
        <v>1</v>
      </c>
    </row>
    <row r="1389" spans="1:21" hidden="1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f t="shared" si="21"/>
        <v>1</v>
      </c>
    </row>
    <row r="1390" spans="1:21" hidden="1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f t="shared" si="21"/>
        <v>1</v>
      </c>
    </row>
    <row r="1391" spans="1:21" hidden="1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f t="shared" si="21"/>
        <v>1</v>
      </c>
    </row>
    <row r="1392" spans="1:21" hidden="1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f t="shared" si="21"/>
        <v>1</v>
      </c>
    </row>
    <row r="1393" spans="1:17" hidden="1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f t="shared" si="21"/>
        <v>1</v>
      </c>
    </row>
    <row r="1394" spans="1:17" hidden="1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f t="shared" si="21"/>
        <v>1</v>
      </c>
    </row>
    <row r="1395" spans="1:17" hidden="1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f t="shared" si="21"/>
        <v>1</v>
      </c>
    </row>
    <row r="1396" spans="1:17" hidden="1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f t="shared" si="21"/>
        <v>1</v>
      </c>
    </row>
    <row r="1397" spans="1:17" hidden="1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f t="shared" si="21"/>
        <v>1</v>
      </c>
    </row>
    <row r="1398" spans="1:17" hidden="1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f t="shared" si="21"/>
        <v>1</v>
      </c>
    </row>
    <row r="1399" spans="1:17" hidden="1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f t="shared" si="21"/>
        <v>1</v>
      </c>
    </row>
    <row r="1400" spans="1:17" hidden="1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f t="shared" si="21"/>
        <v>1</v>
      </c>
    </row>
    <row r="1401" spans="1:17" hidden="1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f t="shared" si="21"/>
        <v>1</v>
      </c>
    </row>
    <row r="1402" spans="1:17" hidden="1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>
        <f t="shared" si="21"/>
        <v>2</v>
      </c>
    </row>
    <row r="1403" spans="1:17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>
        <f t="shared" si="21"/>
        <v>2</v>
      </c>
    </row>
    <row r="1404" spans="1:17" hidden="1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>
        <f t="shared" si="21"/>
        <v>2</v>
      </c>
    </row>
    <row r="1405" spans="1:17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>
        <f t="shared" si="21"/>
        <v>2</v>
      </c>
    </row>
    <row r="1406" spans="1:17" hidden="1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>
        <f t="shared" si="21"/>
        <v>2</v>
      </c>
    </row>
    <row r="1407" spans="1:17" hidden="1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>
        <f t="shared" si="21"/>
        <v>2</v>
      </c>
    </row>
    <row r="1408" spans="1:17" hidden="1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>
        <f t="shared" si="21"/>
        <v>2</v>
      </c>
    </row>
    <row r="1409" spans="1:17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>
        <f t="shared" si="21"/>
        <v>2</v>
      </c>
    </row>
  </sheetData>
  <autoFilter ref="A1:Q1409" xr:uid="{A913B803-7032-4BFF-9B9D-5845C1705FB1}">
    <filterColumn colId="2">
      <filters>
        <filter val="Contro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73BD-E848-4CFC-841E-AD9153EC8840}">
  <dimension ref="A1:P1409"/>
  <sheetViews>
    <sheetView topLeftCell="C1" workbookViewId="0">
      <selection activeCell="D5" sqref="D5"/>
    </sheetView>
  </sheetViews>
  <sheetFormatPr defaultRowHeight="14.4"/>
  <cols>
    <col min="2" max="2" width="10.33203125" bestFit="1" customWidth="1"/>
  </cols>
  <sheetData>
    <row r="1" spans="1:16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034D-503B-4E7C-82D5-955CF8AAD485}">
  <dimension ref="A1:L22"/>
  <sheetViews>
    <sheetView workbookViewId="0">
      <selection activeCell="F6" sqref="F6:L13"/>
    </sheetView>
  </sheetViews>
  <sheetFormatPr defaultRowHeight="14.4"/>
  <cols>
    <col min="1" max="1" width="41.21875" bestFit="1" customWidth="1"/>
    <col min="2" max="2" width="12.6640625" bestFit="1" customWidth="1"/>
    <col min="3" max="3" width="10.44140625" bestFit="1" customWidth="1"/>
  </cols>
  <sheetData>
    <row r="1" spans="1:12">
      <c r="A1" s="50" t="s">
        <v>1507</v>
      </c>
      <c r="B1" s="51"/>
      <c r="C1" s="51"/>
    </row>
    <row r="2" spans="1:12" ht="15" thickBot="1"/>
    <row r="3" spans="1:12">
      <c r="A3" s="11"/>
      <c r="B3" s="52" t="s">
        <v>17</v>
      </c>
      <c r="C3" s="52" t="s">
        <v>723</v>
      </c>
    </row>
    <row r="4" spans="1:12" ht="15" thickBot="1">
      <c r="A4" s="9" t="s">
        <v>1465</v>
      </c>
      <c r="B4" s="53">
        <v>3.1746031746031744E-2</v>
      </c>
      <c r="C4" s="53">
        <v>6.9930069930069935E-2</v>
      </c>
    </row>
    <row r="5" spans="1:12" ht="15" thickBot="1">
      <c r="A5" s="9" t="s">
        <v>1466</v>
      </c>
      <c r="B5" s="12">
        <v>3.0782640609230204E-2</v>
      </c>
      <c r="C5" s="12">
        <v>6.513094748388866E-2</v>
      </c>
      <c r="H5" s="38" t="s">
        <v>1463</v>
      </c>
      <c r="I5" s="64"/>
      <c r="J5" s="65"/>
    </row>
    <row r="6" spans="1:12">
      <c r="A6" s="9" t="s">
        <v>1467</v>
      </c>
      <c r="B6" s="54">
        <v>693</v>
      </c>
      <c r="C6" s="54">
        <v>715</v>
      </c>
      <c r="F6" s="29" t="s">
        <v>1516</v>
      </c>
      <c r="G6" s="28"/>
      <c r="H6" s="28"/>
      <c r="I6" s="28"/>
      <c r="J6" s="28"/>
      <c r="K6" s="28"/>
      <c r="L6" s="28"/>
    </row>
    <row r="7" spans="1:12">
      <c r="A7" s="9" t="s">
        <v>1468</v>
      </c>
      <c r="B7" s="12">
        <v>0</v>
      </c>
      <c r="C7" s="12"/>
      <c r="F7" s="28"/>
      <c r="G7" s="28"/>
      <c r="H7" s="28"/>
      <c r="I7" s="28"/>
      <c r="J7" s="28"/>
      <c r="K7" s="28"/>
      <c r="L7" s="28"/>
    </row>
    <row r="8" spans="1:12">
      <c r="A8" s="9" t="s">
        <v>1469</v>
      </c>
      <c r="B8" s="12">
        <v>1269</v>
      </c>
      <c r="C8" s="12"/>
      <c r="F8" s="28"/>
      <c r="G8" s="28"/>
      <c r="H8" s="28"/>
      <c r="I8" s="28"/>
      <c r="J8" s="28"/>
      <c r="K8" s="28"/>
      <c r="L8" s="28"/>
    </row>
    <row r="9" spans="1:12">
      <c r="A9" s="9" t="s">
        <v>1470</v>
      </c>
      <c r="B9" s="55">
        <v>-3.2801490050026385</v>
      </c>
      <c r="C9" s="12"/>
      <c r="F9" s="28"/>
      <c r="G9" s="28"/>
      <c r="H9" s="28"/>
      <c r="I9" s="28"/>
      <c r="J9" s="28"/>
      <c r="K9" s="28"/>
      <c r="L9" s="28"/>
    </row>
    <row r="10" spans="1:12">
      <c r="A10" s="9" t="s">
        <v>1471</v>
      </c>
      <c r="B10" s="12">
        <v>5.3284668418793831E-4</v>
      </c>
      <c r="C10" s="12"/>
      <c r="F10" s="28"/>
      <c r="G10" s="28"/>
      <c r="H10" s="28"/>
      <c r="I10" s="28"/>
      <c r="J10" s="28"/>
      <c r="K10" s="28"/>
      <c r="L10" s="28"/>
    </row>
    <row r="11" spans="1:12">
      <c r="A11" s="9" t="s">
        <v>1472</v>
      </c>
      <c r="B11" s="12">
        <v>1.646055273058157</v>
      </c>
      <c r="C11" s="12"/>
      <c r="F11" s="28"/>
      <c r="G11" s="28"/>
      <c r="H11" s="28"/>
      <c r="I11" s="28"/>
      <c r="J11" s="28"/>
      <c r="K11" s="28"/>
      <c r="L11" s="28"/>
    </row>
    <row r="12" spans="1:12">
      <c r="A12" s="9" t="s">
        <v>1473</v>
      </c>
      <c r="B12" s="56">
        <v>1.0656933683758766E-3</v>
      </c>
      <c r="C12" s="12"/>
      <c r="F12" s="28"/>
      <c r="G12" s="28"/>
      <c r="H12" s="28"/>
      <c r="I12" s="28"/>
      <c r="J12" s="28"/>
      <c r="K12" s="28"/>
      <c r="L12" s="28"/>
    </row>
    <row r="13" spans="1:12" ht="15" thickBot="1">
      <c r="A13" s="10" t="s">
        <v>1474</v>
      </c>
      <c r="B13" s="57">
        <v>1.961835140575849</v>
      </c>
      <c r="C13" s="13"/>
      <c r="F13" s="28"/>
      <c r="G13" s="28"/>
      <c r="H13" s="28"/>
      <c r="I13" s="28"/>
      <c r="J13" s="28"/>
      <c r="K13" s="28"/>
      <c r="L13" s="28"/>
    </row>
    <row r="16" spans="1:12">
      <c r="A16" s="59" t="s">
        <v>1508</v>
      </c>
      <c r="B16" s="60"/>
      <c r="C16" s="60"/>
    </row>
    <row r="17" spans="1:3">
      <c r="A17" s="62" t="s">
        <v>1509</v>
      </c>
      <c r="B17" s="63" t="s">
        <v>1510</v>
      </c>
      <c r="C17" s="63"/>
    </row>
    <row r="18" spans="1:3">
      <c r="A18" s="19" t="s">
        <v>1511</v>
      </c>
      <c r="B18" s="61">
        <v>0.05</v>
      </c>
      <c r="C18" s="61"/>
    </row>
    <row r="19" spans="1:3">
      <c r="A19" s="19" t="s">
        <v>1512</v>
      </c>
      <c r="B19" s="61">
        <v>1.1000000000000001E-3</v>
      </c>
      <c r="C19" s="61"/>
    </row>
    <row r="20" spans="1:3">
      <c r="A20" s="19" t="s">
        <v>1442</v>
      </c>
      <c r="B20" s="61" t="s">
        <v>1514</v>
      </c>
      <c r="C20" s="61"/>
    </row>
    <row r="21" spans="1:3">
      <c r="A21" s="19" t="s">
        <v>1513</v>
      </c>
      <c r="B21" s="61" t="s">
        <v>1515</v>
      </c>
      <c r="C21" s="61"/>
    </row>
    <row r="22" spans="1:3">
      <c r="B22" s="7"/>
      <c r="C22" s="7"/>
    </row>
  </sheetData>
  <mergeCells count="9">
    <mergeCell ref="B21:C21"/>
    <mergeCell ref="H5:J5"/>
    <mergeCell ref="F6:L13"/>
    <mergeCell ref="A1:C1"/>
    <mergeCell ref="A16:C16"/>
    <mergeCell ref="B17:C17"/>
    <mergeCell ref="B18:C18"/>
    <mergeCell ref="B19:C19"/>
    <mergeCell ref="B20:C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4484-72C0-4D1B-ADEB-3F86F1A6E101}">
  <dimension ref="A1:I718"/>
  <sheetViews>
    <sheetView workbookViewId="0">
      <selection activeCell="E19" sqref="E19"/>
    </sheetView>
  </sheetViews>
  <sheetFormatPr defaultRowHeight="14.4"/>
  <cols>
    <col min="2" max="2" width="9.77734375" bestFit="1" customWidth="1"/>
    <col min="6" max="6" width="13.109375" bestFit="1" customWidth="1"/>
    <col min="7" max="7" width="18.44140625" bestFit="1" customWidth="1"/>
  </cols>
  <sheetData>
    <row r="1" spans="1:7">
      <c r="A1" s="24" t="s">
        <v>1494</v>
      </c>
      <c r="B1" s="25"/>
      <c r="C1" s="25"/>
    </row>
    <row r="3" spans="1:7">
      <c r="A3" s="26" t="s">
        <v>17</v>
      </c>
      <c r="B3" s="26" t="s">
        <v>723</v>
      </c>
    </row>
    <row r="4" spans="1:7" ht="15" thickBot="1">
      <c r="A4" s="27">
        <v>0</v>
      </c>
      <c r="B4" s="27">
        <v>0</v>
      </c>
    </row>
    <row r="5" spans="1:7">
      <c r="A5" s="27">
        <v>0</v>
      </c>
      <c r="B5" s="27">
        <v>0</v>
      </c>
      <c r="F5" s="31" t="s">
        <v>1497</v>
      </c>
      <c r="G5" s="32"/>
    </row>
    <row r="6" spans="1:7">
      <c r="A6" s="27">
        <v>0</v>
      </c>
      <c r="B6" s="27">
        <v>0</v>
      </c>
      <c r="F6" s="33" t="s">
        <v>1498</v>
      </c>
      <c r="G6" s="34" t="s">
        <v>1499</v>
      </c>
    </row>
    <row r="7" spans="1:7">
      <c r="A7" s="27">
        <v>0</v>
      </c>
      <c r="B7" s="27">
        <v>0</v>
      </c>
      <c r="F7" s="33" t="s">
        <v>1501</v>
      </c>
      <c r="G7" s="34" t="s">
        <v>1500</v>
      </c>
    </row>
    <row r="8" spans="1:7">
      <c r="A8" s="27">
        <v>0</v>
      </c>
      <c r="B8" s="27">
        <v>0</v>
      </c>
      <c r="F8" s="33" t="s">
        <v>1502</v>
      </c>
      <c r="G8" s="34" t="s">
        <v>1505</v>
      </c>
    </row>
    <row r="9" spans="1:7">
      <c r="A9" s="27">
        <v>0</v>
      </c>
      <c r="B9" s="27">
        <v>0</v>
      </c>
      <c r="F9" s="33" t="s">
        <v>1503</v>
      </c>
      <c r="G9" s="35">
        <v>0.05</v>
      </c>
    </row>
    <row r="10" spans="1:7" ht="15" thickBot="1">
      <c r="A10" s="27">
        <v>0</v>
      </c>
      <c r="B10" s="27">
        <v>0</v>
      </c>
      <c r="F10" s="36" t="s">
        <v>1504</v>
      </c>
      <c r="G10" s="37" t="s">
        <v>1506</v>
      </c>
    </row>
    <row r="11" spans="1:7">
      <c r="A11" s="27">
        <v>0</v>
      </c>
      <c r="B11" s="27">
        <v>0</v>
      </c>
    </row>
    <row r="12" spans="1:7">
      <c r="A12" s="27">
        <v>0</v>
      </c>
      <c r="B12" s="27">
        <v>0</v>
      </c>
    </row>
    <row r="13" spans="1:7">
      <c r="A13" s="27">
        <v>0</v>
      </c>
      <c r="B13" s="27">
        <v>0</v>
      </c>
    </row>
    <row r="14" spans="1:7">
      <c r="A14" s="27">
        <v>0</v>
      </c>
      <c r="B14" s="27">
        <v>1</v>
      </c>
    </row>
    <row r="15" spans="1:7">
      <c r="A15" s="27">
        <v>0</v>
      </c>
      <c r="B15" s="27">
        <v>0</v>
      </c>
    </row>
    <row r="16" spans="1:7">
      <c r="A16" s="27">
        <v>0</v>
      </c>
      <c r="B16" s="27">
        <v>0</v>
      </c>
    </row>
    <row r="17" spans="1:9">
      <c r="A17" s="27">
        <v>0</v>
      </c>
      <c r="B17" s="27">
        <v>0</v>
      </c>
    </row>
    <row r="18" spans="1:9">
      <c r="A18" s="27">
        <v>0</v>
      </c>
      <c r="B18" s="27">
        <v>0</v>
      </c>
    </row>
    <row r="19" spans="1:9">
      <c r="A19" s="27">
        <v>0</v>
      </c>
      <c r="B19" s="27">
        <v>0</v>
      </c>
    </row>
    <row r="20" spans="1:9" ht="15" thickBot="1">
      <c r="A20" s="27">
        <v>0</v>
      </c>
      <c r="B20" s="27">
        <v>0</v>
      </c>
    </row>
    <row r="21" spans="1:9" ht="15" thickBot="1">
      <c r="A21" s="27">
        <v>0</v>
      </c>
      <c r="B21" s="27">
        <v>0</v>
      </c>
      <c r="F21" s="39" t="s">
        <v>1495</v>
      </c>
      <c r="G21" s="40"/>
    </row>
    <row r="22" spans="1:9">
      <c r="A22" s="27">
        <v>0</v>
      </c>
      <c r="B22" s="27">
        <v>0</v>
      </c>
      <c r="D22" s="41" t="s">
        <v>1496</v>
      </c>
      <c r="E22" s="42"/>
      <c r="F22" s="42"/>
      <c r="G22" s="42"/>
      <c r="H22" s="42"/>
      <c r="I22" s="43"/>
    </row>
    <row r="23" spans="1:9">
      <c r="A23" s="27">
        <v>0</v>
      </c>
      <c r="B23" s="27">
        <v>0</v>
      </c>
      <c r="D23" s="44"/>
      <c r="E23" s="45"/>
      <c r="F23" s="45"/>
      <c r="G23" s="45"/>
      <c r="H23" s="45"/>
      <c r="I23" s="46"/>
    </row>
    <row r="24" spans="1:9">
      <c r="A24" s="27">
        <v>0</v>
      </c>
      <c r="B24" s="27">
        <v>0</v>
      </c>
      <c r="D24" s="44"/>
      <c r="E24" s="45"/>
      <c r="F24" s="45"/>
      <c r="G24" s="45"/>
      <c r="H24" s="45"/>
      <c r="I24" s="46"/>
    </row>
    <row r="25" spans="1:9">
      <c r="A25" s="27">
        <v>0</v>
      </c>
      <c r="B25" s="27">
        <v>0</v>
      </c>
      <c r="D25" s="44"/>
      <c r="E25" s="45"/>
      <c r="F25" s="45"/>
      <c r="G25" s="45"/>
      <c r="H25" s="45"/>
      <c r="I25" s="46"/>
    </row>
    <row r="26" spans="1:9">
      <c r="A26" s="27">
        <v>0</v>
      </c>
      <c r="B26" s="27">
        <v>1</v>
      </c>
      <c r="D26" s="44"/>
      <c r="E26" s="45"/>
      <c r="F26" s="45"/>
      <c r="G26" s="45"/>
      <c r="H26" s="45"/>
      <c r="I26" s="46"/>
    </row>
    <row r="27" spans="1:9">
      <c r="A27" s="27">
        <v>0</v>
      </c>
      <c r="B27" s="27">
        <v>1</v>
      </c>
      <c r="D27" s="44"/>
      <c r="E27" s="45"/>
      <c r="F27" s="45"/>
      <c r="G27" s="45"/>
      <c r="H27" s="45"/>
      <c r="I27" s="46"/>
    </row>
    <row r="28" spans="1:9">
      <c r="A28" s="27">
        <v>0</v>
      </c>
      <c r="B28" s="27">
        <v>0</v>
      </c>
      <c r="D28" s="44"/>
      <c r="E28" s="45"/>
      <c r="F28" s="45"/>
      <c r="G28" s="45"/>
      <c r="H28" s="45"/>
      <c r="I28" s="46"/>
    </row>
    <row r="29" spans="1:9" ht="15" thickBot="1">
      <c r="A29" s="27">
        <v>0</v>
      </c>
      <c r="B29" s="27">
        <v>0</v>
      </c>
      <c r="D29" s="47"/>
      <c r="E29" s="48"/>
      <c r="F29" s="48"/>
      <c r="G29" s="48"/>
      <c r="H29" s="48"/>
      <c r="I29" s="49"/>
    </row>
    <row r="30" spans="1:9">
      <c r="A30" s="27">
        <v>0</v>
      </c>
      <c r="B30" s="27">
        <v>0</v>
      </c>
    </row>
    <row r="31" spans="1:9">
      <c r="A31" s="27">
        <v>0</v>
      </c>
      <c r="B31" s="27">
        <v>0</v>
      </c>
    </row>
    <row r="32" spans="1:9">
      <c r="A32" s="27">
        <v>0</v>
      </c>
      <c r="B32" s="27">
        <v>0</v>
      </c>
    </row>
    <row r="33" spans="1:2">
      <c r="A33" s="27">
        <v>0</v>
      </c>
      <c r="B33" s="27">
        <v>0</v>
      </c>
    </row>
    <row r="34" spans="1:2">
      <c r="A34" s="27">
        <v>0</v>
      </c>
      <c r="B34" s="27">
        <v>0</v>
      </c>
    </row>
    <row r="35" spans="1:2">
      <c r="A35" s="27">
        <v>0</v>
      </c>
      <c r="B35" s="27">
        <v>0</v>
      </c>
    </row>
    <row r="36" spans="1:2">
      <c r="A36" s="27">
        <v>0</v>
      </c>
      <c r="B36" s="27">
        <v>0</v>
      </c>
    </row>
    <row r="37" spans="1:2">
      <c r="A37" s="27">
        <v>0</v>
      </c>
      <c r="B37" s="27">
        <v>0</v>
      </c>
    </row>
    <row r="38" spans="1:2">
      <c r="A38" s="27">
        <v>0</v>
      </c>
      <c r="B38" s="27">
        <v>0</v>
      </c>
    </row>
    <row r="39" spans="1:2">
      <c r="A39" s="27">
        <v>0</v>
      </c>
      <c r="B39" s="27">
        <v>0</v>
      </c>
    </row>
    <row r="40" spans="1:2">
      <c r="A40" s="27">
        <v>0</v>
      </c>
      <c r="B40" s="27">
        <v>0</v>
      </c>
    </row>
    <row r="41" spans="1:2">
      <c r="A41" s="27">
        <v>0</v>
      </c>
      <c r="B41" s="27">
        <v>1</v>
      </c>
    </row>
    <row r="42" spans="1:2">
      <c r="A42" s="27">
        <v>0</v>
      </c>
      <c r="B42" s="27">
        <v>0</v>
      </c>
    </row>
    <row r="43" spans="1:2">
      <c r="A43" s="27">
        <v>0</v>
      </c>
      <c r="B43" s="27">
        <v>0</v>
      </c>
    </row>
    <row r="44" spans="1:2">
      <c r="A44" s="27">
        <v>0</v>
      </c>
      <c r="B44" s="27">
        <v>0</v>
      </c>
    </row>
    <row r="45" spans="1:2">
      <c r="A45" s="27">
        <v>0</v>
      </c>
      <c r="B45" s="27">
        <v>1</v>
      </c>
    </row>
    <row r="46" spans="1:2">
      <c r="A46" s="27">
        <v>0</v>
      </c>
      <c r="B46" s="27">
        <v>0</v>
      </c>
    </row>
    <row r="47" spans="1:2">
      <c r="A47" s="27">
        <v>0</v>
      </c>
      <c r="B47" s="27">
        <v>0</v>
      </c>
    </row>
    <row r="48" spans="1:2">
      <c r="A48" s="27">
        <v>0</v>
      </c>
      <c r="B48" s="27">
        <v>0</v>
      </c>
    </row>
    <row r="49" spans="1:2">
      <c r="A49" s="27">
        <v>0</v>
      </c>
      <c r="B49" s="27">
        <v>0</v>
      </c>
    </row>
    <row r="50" spans="1:2">
      <c r="A50" s="27">
        <v>0</v>
      </c>
      <c r="B50" s="27">
        <v>0</v>
      </c>
    </row>
    <row r="51" spans="1:2">
      <c r="A51" s="27">
        <v>0</v>
      </c>
      <c r="B51" s="27">
        <v>0</v>
      </c>
    </row>
    <row r="52" spans="1:2">
      <c r="A52" s="27">
        <v>0</v>
      </c>
      <c r="B52" s="27">
        <v>0</v>
      </c>
    </row>
    <row r="53" spans="1:2">
      <c r="A53" s="27">
        <v>0</v>
      </c>
      <c r="B53" s="27">
        <v>0</v>
      </c>
    </row>
    <row r="54" spans="1:2">
      <c r="A54" s="27">
        <v>0</v>
      </c>
      <c r="B54" s="27">
        <v>0</v>
      </c>
    </row>
    <row r="55" spans="1:2">
      <c r="A55" s="27">
        <v>0</v>
      </c>
      <c r="B55" s="27">
        <v>0</v>
      </c>
    </row>
    <row r="56" spans="1:2">
      <c r="A56" s="27">
        <v>0</v>
      </c>
      <c r="B56" s="27">
        <v>0</v>
      </c>
    </row>
    <row r="57" spans="1:2">
      <c r="A57" s="27">
        <v>0</v>
      </c>
      <c r="B57" s="27">
        <v>0</v>
      </c>
    </row>
    <row r="58" spans="1:2">
      <c r="A58" s="27">
        <v>0</v>
      </c>
      <c r="B58" s="27">
        <v>0</v>
      </c>
    </row>
    <row r="59" spans="1:2">
      <c r="A59" s="27">
        <v>0</v>
      </c>
      <c r="B59" s="27">
        <v>0</v>
      </c>
    </row>
    <row r="60" spans="1:2">
      <c r="A60" s="27">
        <v>0</v>
      </c>
      <c r="B60" s="27">
        <v>0</v>
      </c>
    </row>
    <row r="61" spans="1:2">
      <c r="A61" s="27">
        <v>0</v>
      </c>
      <c r="B61" s="27">
        <v>0</v>
      </c>
    </row>
    <row r="62" spans="1:2">
      <c r="A62" s="27">
        <v>0</v>
      </c>
      <c r="B62" s="27">
        <v>0</v>
      </c>
    </row>
    <row r="63" spans="1:2">
      <c r="A63" s="27">
        <v>1</v>
      </c>
      <c r="B63" s="27">
        <v>0</v>
      </c>
    </row>
    <row r="64" spans="1:2">
      <c r="A64" s="27">
        <v>0</v>
      </c>
      <c r="B64" s="27">
        <v>0</v>
      </c>
    </row>
    <row r="65" spans="1:2">
      <c r="A65" s="27">
        <v>0</v>
      </c>
      <c r="B65" s="27">
        <v>0</v>
      </c>
    </row>
    <row r="66" spans="1:2">
      <c r="A66" s="27">
        <v>0</v>
      </c>
      <c r="B66" s="27">
        <v>0</v>
      </c>
    </row>
    <row r="67" spans="1:2">
      <c r="A67" s="27">
        <v>0</v>
      </c>
      <c r="B67" s="27">
        <v>0</v>
      </c>
    </row>
    <row r="68" spans="1:2">
      <c r="A68" s="27">
        <v>0</v>
      </c>
      <c r="B68" s="27">
        <v>0</v>
      </c>
    </row>
    <row r="69" spans="1:2">
      <c r="A69" s="27">
        <v>0</v>
      </c>
      <c r="B69" s="27">
        <v>0</v>
      </c>
    </row>
    <row r="70" spans="1:2">
      <c r="A70" s="27">
        <v>0</v>
      </c>
      <c r="B70" s="27">
        <v>0</v>
      </c>
    </row>
    <row r="71" spans="1:2">
      <c r="A71" s="27">
        <v>0</v>
      </c>
      <c r="B71" s="27">
        <v>1</v>
      </c>
    </row>
    <row r="72" spans="1:2">
      <c r="A72" s="27">
        <v>0</v>
      </c>
      <c r="B72" s="27">
        <v>0</v>
      </c>
    </row>
    <row r="73" spans="1:2">
      <c r="A73" s="27">
        <v>0</v>
      </c>
      <c r="B73" s="27">
        <v>0</v>
      </c>
    </row>
    <row r="74" spans="1:2">
      <c r="A74" s="27">
        <v>0</v>
      </c>
      <c r="B74" s="27">
        <v>0</v>
      </c>
    </row>
    <row r="75" spans="1:2">
      <c r="A75" s="27">
        <v>0</v>
      </c>
      <c r="B75" s="27">
        <v>0</v>
      </c>
    </row>
    <row r="76" spans="1:2">
      <c r="A76" s="27">
        <v>0</v>
      </c>
      <c r="B76" s="27">
        <v>0</v>
      </c>
    </row>
    <row r="77" spans="1:2">
      <c r="A77" s="27">
        <v>0</v>
      </c>
      <c r="B77" s="27">
        <v>0</v>
      </c>
    </row>
    <row r="78" spans="1:2">
      <c r="A78" s="27">
        <v>0</v>
      </c>
      <c r="B78" s="27">
        <v>0</v>
      </c>
    </row>
    <row r="79" spans="1:2">
      <c r="A79" s="27">
        <v>0</v>
      </c>
      <c r="B79" s="27">
        <v>0</v>
      </c>
    </row>
    <row r="80" spans="1:2">
      <c r="A80" s="27">
        <v>0</v>
      </c>
      <c r="B80" s="27">
        <v>0</v>
      </c>
    </row>
    <row r="81" spans="1:2">
      <c r="A81" s="27">
        <v>0</v>
      </c>
      <c r="B81" s="27">
        <v>0</v>
      </c>
    </row>
    <row r="82" spans="1:2">
      <c r="A82" s="27">
        <v>1</v>
      </c>
      <c r="B82" s="27">
        <v>0</v>
      </c>
    </row>
    <row r="83" spans="1:2">
      <c r="A83" s="27">
        <v>0</v>
      </c>
      <c r="B83" s="27">
        <v>0</v>
      </c>
    </row>
    <row r="84" spans="1:2">
      <c r="A84" s="27">
        <v>0</v>
      </c>
      <c r="B84" s="27">
        <v>0</v>
      </c>
    </row>
    <row r="85" spans="1:2">
      <c r="A85" s="27">
        <v>0</v>
      </c>
      <c r="B85" s="27">
        <v>0</v>
      </c>
    </row>
    <row r="86" spans="1:2">
      <c r="A86" s="27">
        <v>0</v>
      </c>
      <c r="B86" s="27">
        <v>0</v>
      </c>
    </row>
    <row r="87" spans="1:2">
      <c r="A87" s="27">
        <v>0</v>
      </c>
      <c r="B87" s="27">
        <v>0</v>
      </c>
    </row>
    <row r="88" spans="1:2">
      <c r="A88" s="27">
        <v>0</v>
      </c>
      <c r="B88" s="27">
        <v>0</v>
      </c>
    </row>
    <row r="89" spans="1:2">
      <c r="A89" s="27">
        <v>0</v>
      </c>
      <c r="B89" s="27">
        <v>0</v>
      </c>
    </row>
    <row r="90" spans="1:2">
      <c r="A90" s="27">
        <v>0</v>
      </c>
      <c r="B90" s="27">
        <v>0</v>
      </c>
    </row>
    <row r="91" spans="1:2">
      <c r="A91" s="27">
        <v>0</v>
      </c>
      <c r="B91" s="27">
        <v>0</v>
      </c>
    </row>
    <row r="92" spans="1:2">
      <c r="A92" s="27">
        <v>0</v>
      </c>
      <c r="B92" s="27">
        <v>0</v>
      </c>
    </row>
    <row r="93" spans="1:2">
      <c r="A93" s="27">
        <v>0</v>
      </c>
      <c r="B93" s="27">
        <v>0</v>
      </c>
    </row>
    <row r="94" spans="1:2">
      <c r="A94" s="27">
        <v>0</v>
      </c>
      <c r="B94" s="27">
        <v>0</v>
      </c>
    </row>
    <row r="95" spans="1:2">
      <c r="A95" s="27">
        <v>0</v>
      </c>
      <c r="B95" s="27">
        <v>0</v>
      </c>
    </row>
    <row r="96" spans="1:2">
      <c r="A96" s="27">
        <v>0</v>
      </c>
      <c r="B96" s="27">
        <v>0</v>
      </c>
    </row>
    <row r="97" spans="1:2">
      <c r="A97" s="27">
        <v>0</v>
      </c>
      <c r="B97" s="27">
        <v>0</v>
      </c>
    </row>
    <row r="98" spans="1:2">
      <c r="A98" s="27">
        <v>0</v>
      </c>
      <c r="B98" s="27">
        <v>0</v>
      </c>
    </row>
    <row r="99" spans="1:2">
      <c r="A99" s="27">
        <v>0</v>
      </c>
      <c r="B99" s="27">
        <v>0</v>
      </c>
    </row>
    <row r="100" spans="1:2">
      <c r="A100" s="27">
        <v>0</v>
      </c>
      <c r="B100" s="27">
        <v>0</v>
      </c>
    </row>
    <row r="101" spans="1:2">
      <c r="A101" s="27">
        <v>0</v>
      </c>
      <c r="B101" s="27">
        <v>0</v>
      </c>
    </row>
    <row r="102" spans="1:2">
      <c r="A102" s="27">
        <v>1</v>
      </c>
      <c r="B102" s="27">
        <v>0</v>
      </c>
    </row>
    <row r="103" spans="1:2">
      <c r="A103" s="27">
        <v>0</v>
      </c>
      <c r="B103" s="27">
        <v>0</v>
      </c>
    </row>
    <row r="104" spans="1:2">
      <c r="A104" s="27">
        <v>0</v>
      </c>
      <c r="B104" s="27">
        <v>0</v>
      </c>
    </row>
    <row r="105" spans="1:2">
      <c r="A105" s="27">
        <v>0</v>
      </c>
      <c r="B105" s="27">
        <v>0</v>
      </c>
    </row>
    <row r="106" spans="1:2">
      <c r="A106" s="27">
        <v>1</v>
      </c>
      <c r="B106" s="27">
        <v>0</v>
      </c>
    </row>
    <row r="107" spans="1:2">
      <c r="A107" s="27">
        <v>0</v>
      </c>
      <c r="B107" s="27">
        <v>0</v>
      </c>
    </row>
    <row r="108" spans="1:2">
      <c r="A108" s="27">
        <v>0</v>
      </c>
      <c r="B108" s="27">
        <v>0</v>
      </c>
    </row>
    <row r="109" spans="1:2">
      <c r="A109" s="27">
        <v>1</v>
      </c>
      <c r="B109" s="27">
        <v>0</v>
      </c>
    </row>
    <row r="110" spans="1:2">
      <c r="A110" s="27">
        <v>0</v>
      </c>
      <c r="B110" s="27">
        <v>0</v>
      </c>
    </row>
    <row r="111" spans="1:2">
      <c r="A111" s="27">
        <v>0</v>
      </c>
      <c r="B111" s="27">
        <v>0</v>
      </c>
    </row>
    <row r="112" spans="1:2">
      <c r="A112" s="27">
        <v>0</v>
      </c>
      <c r="B112" s="27">
        <v>0</v>
      </c>
    </row>
    <row r="113" spans="1:2">
      <c r="A113" s="27">
        <v>0</v>
      </c>
      <c r="B113" s="27">
        <v>0</v>
      </c>
    </row>
    <row r="114" spans="1:2">
      <c r="A114" s="27">
        <v>0</v>
      </c>
      <c r="B114" s="27">
        <v>0</v>
      </c>
    </row>
    <row r="115" spans="1:2">
      <c r="A115" s="27">
        <v>0</v>
      </c>
      <c r="B115" s="27">
        <v>0</v>
      </c>
    </row>
    <row r="116" spans="1:2">
      <c r="A116" s="27">
        <v>0</v>
      </c>
      <c r="B116" s="27">
        <v>0</v>
      </c>
    </row>
    <row r="117" spans="1:2">
      <c r="A117" s="27">
        <v>0</v>
      </c>
      <c r="B117" s="27">
        <v>0</v>
      </c>
    </row>
    <row r="118" spans="1:2">
      <c r="A118" s="27">
        <v>0</v>
      </c>
      <c r="B118" s="27">
        <v>1</v>
      </c>
    </row>
    <row r="119" spans="1:2">
      <c r="A119" s="27">
        <v>0</v>
      </c>
      <c r="B119" s="27">
        <v>0</v>
      </c>
    </row>
    <row r="120" spans="1:2">
      <c r="A120" s="27">
        <v>0</v>
      </c>
      <c r="B120" s="27">
        <v>0</v>
      </c>
    </row>
    <row r="121" spans="1:2">
      <c r="A121" s="27">
        <v>0</v>
      </c>
      <c r="B121" s="27">
        <v>0</v>
      </c>
    </row>
    <row r="122" spans="1:2">
      <c r="A122" s="27">
        <v>0</v>
      </c>
      <c r="B122" s="27">
        <v>0</v>
      </c>
    </row>
    <row r="123" spans="1:2">
      <c r="A123" s="27">
        <v>0</v>
      </c>
      <c r="B123" s="27">
        <v>0</v>
      </c>
    </row>
    <row r="124" spans="1:2">
      <c r="A124" s="27">
        <v>0</v>
      </c>
      <c r="B124" s="27">
        <v>0</v>
      </c>
    </row>
    <row r="125" spans="1:2">
      <c r="A125" s="27">
        <v>0</v>
      </c>
      <c r="B125" s="27">
        <v>0</v>
      </c>
    </row>
    <row r="126" spans="1:2">
      <c r="A126" s="27">
        <v>0</v>
      </c>
      <c r="B126" s="27">
        <v>0</v>
      </c>
    </row>
    <row r="127" spans="1:2">
      <c r="A127" s="27">
        <v>0</v>
      </c>
      <c r="B127" s="27">
        <v>1</v>
      </c>
    </row>
    <row r="128" spans="1:2">
      <c r="A128" s="27">
        <v>0</v>
      </c>
      <c r="B128" s="27">
        <v>0</v>
      </c>
    </row>
    <row r="129" spans="1:2">
      <c r="A129" s="27">
        <v>0</v>
      </c>
      <c r="B129" s="27">
        <v>0</v>
      </c>
    </row>
    <row r="130" spans="1:2">
      <c r="A130" s="27">
        <v>0</v>
      </c>
      <c r="B130" s="27">
        <v>0</v>
      </c>
    </row>
    <row r="131" spans="1:2">
      <c r="A131" s="27">
        <v>0</v>
      </c>
      <c r="B131" s="27">
        <v>0</v>
      </c>
    </row>
    <row r="132" spans="1:2">
      <c r="A132" s="27">
        <v>0</v>
      </c>
      <c r="B132" s="27">
        <v>1</v>
      </c>
    </row>
    <row r="133" spans="1:2">
      <c r="A133" s="27">
        <v>0</v>
      </c>
      <c r="B133" s="27">
        <v>0</v>
      </c>
    </row>
    <row r="134" spans="1:2">
      <c r="A134" s="27">
        <v>0</v>
      </c>
      <c r="B134" s="27">
        <v>0</v>
      </c>
    </row>
    <row r="135" spans="1:2">
      <c r="A135" s="27">
        <v>0</v>
      </c>
      <c r="B135" s="27">
        <v>0</v>
      </c>
    </row>
    <row r="136" spans="1:2">
      <c r="A136" s="27">
        <v>0</v>
      </c>
      <c r="B136" s="27">
        <v>0</v>
      </c>
    </row>
    <row r="137" spans="1:2">
      <c r="A137" s="27">
        <v>0</v>
      </c>
      <c r="B137" s="27">
        <v>0</v>
      </c>
    </row>
    <row r="138" spans="1:2">
      <c r="A138" s="27">
        <v>0</v>
      </c>
      <c r="B138" s="27">
        <v>1</v>
      </c>
    </row>
    <row r="139" spans="1:2">
      <c r="A139" s="27">
        <v>0</v>
      </c>
      <c r="B139" s="27">
        <v>0</v>
      </c>
    </row>
    <row r="140" spans="1:2">
      <c r="A140" s="27">
        <v>0</v>
      </c>
      <c r="B140" s="27">
        <v>0</v>
      </c>
    </row>
    <row r="141" spans="1:2">
      <c r="A141" s="27">
        <v>0</v>
      </c>
      <c r="B141" s="27">
        <v>0</v>
      </c>
    </row>
    <row r="142" spans="1:2">
      <c r="A142" s="27">
        <v>0</v>
      </c>
      <c r="B142" s="27">
        <v>0</v>
      </c>
    </row>
    <row r="143" spans="1:2">
      <c r="A143" s="27">
        <v>0</v>
      </c>
      <c r="B143" s="27">
        <v>1</v>
      </c>
    </row>
    <row r="144" spans="1:2">
      <c r="A144" s="27">
        <v>0</v>
      </c>
      <c r="B144" s="27">
        <v>0</v>
      </c>
    </row>
    <row r="145" spans="1:2">
      <c r="A145" s="27">
        <v>1</v>
      </c>
      <c r="B145" s="27">
        <v>0</v>
      </c>
    </row>
    <row r="146" spans="1:2">
      <c r="A146" s="27">
        <v>0</v>
      </c>
      <c r="B146" s="27">
        <v>1</v>
      </c>
    </row>
    <row r="147" spans="1:2">
      <c r="A147" s="27">
        <v>0</v>
      </c>
      <c r="B147" s="27">
        <v>0</v>
      </c>
    </row>
    <row r="148" spans="1:2">
      <c r="A148" s="27">
        <v>0</v>
      </c>
      <c r="B148" s="27">
        <v>0</v>
      </c>
    </row>
    <row r="149" spans="1:2">
      <c r="A149" s="27">
        <v>0</v>
      </c>
      <c r="B149" s="27">
        <v>1</v>
      </c>
    </row>
    <row r="150" spans="1:2">
      <c r="A150" s="27">
        <v>0</v>
      </c>
      <c r="B150" s="27">
        <v>1</v>
      </c>
    </row>
    <row r="151" spans="1:2">
      <c r="A151" s="27">
        <v>0</v>
      </c>
      <c r="B151" s="27">
        <v>0</v>
      </c>
    </row>
    <row r="152" spans="1:2">
      <c r="A152" s="27">
        <v>1</v>
      </c>
      <c r="B152" s="27">
        <v>0</v>
      </c>
    </row>
    <row r="153" spans="1:2">
      <c r="A153" s="27">
        <v>0</v>
      </c>
      <c r="B153" s="27">
        <v>0</v>
      </c>
    </row>
    <row r="154" spans="1:2">
      <c r="A154" s="27">
        <v>0</v>
      </c>
      <c r="B154" s="27">
        <v>0</v>
      </c>
    </row>
    <row r="155" spans="1:2">
      <c r="A155" s="27">
        <v>0</v>
      </c>
      <c r="B155" s="27">
        <v>0</v>
      </c>
    </row>
    <row r="156" spans="1:2">
      <c r="A156" s="27">
        <v>0</v>
      </c>
      <c r="B156" s="27">
        <v>0</v>
      </c>
    </row>
    <row r="157" spans="1:2">
      <c r="A157" s="27">
        <v>0</v>
      </c>
      <c r="B157" s="27">
        <v>0</v>
      </c>
    </row>
    <row r="158" spans="1:2">
      <c r="A158" s="27">
        <v>0</v>
      </c>
      <c r="B158" s="27">
        <v>0</v>
      </c>
    </row>
    <row r="159" spans="1:2">
      <c r="A159" s="27">
        <v>0</v>
      </c>
      <c r="B159" s="27">
        <v>0</v>
      </c>
    </row>
    <row r="160" spans="1:2">
      <c r="A160" s="27">
        <v>0</v>
      </c>
      <c r="B160" s="27">
        <v>0</v>
      </c>
    </row>
    <row r="161" spans="1:2">
      <c r="A161" s="27">
        <v>0</v>
      </c>
      <c r="B161" s="27">
        <v>0</v>
      </c>
    </row>
    <row r="162" spans="1:2">
      <c r="A162" s="27">
        <v>0</v>
      </c>
      <c r="B162" s="27">
        <v>0</v>
      </c>
    </row>
    <row r="163" spans="1:2">
      <c r="A163" s="27">
        <v>0</v>
      </c>
      <c r="B163" s="27">
        <v>0</v>
      </c>
    </row>
    <row r="164" spans="1:2">
      <c r="A164" s="27">
        <v>0</v>
      </c>
      <c r="B164" s="27">
        <v>0</v>
      </c>
    </row>
    <row r="165" spans="1:2">
      <c r="A165" s="27">
        <v>0</v>
      </c>
      <c r="B165" s="27">
        <v>0</v>
      </c>
    </row>
    <row r="166" spans="1:2">
      <c r="A166" s="27">
        <v>0</v>
      </c>
      <c r="B166" s="27">
        <v>0</v>
      </c>
    </row>
    <row r="167" spans="1:2">
      <c r="A167" s="27">
        <v>0</v>
      </c>
      <c r="B167" s="27">
        <v>0</v>
      </c>
    </row>
    <row r="168" spans="1:2">
      <c r="A168" s="27">
        <v>0</v>
      </c>
      <c r="B168" s="27">
        <v>1</v>
      </c>
    </row>
    <row r="169" spans="1:2">
      <c r="A169" s="27">
        <v>1</v>
      </c>
      <c r="B169" s="27">
        <v>0</v>
      </c>
    </row>
    <row r="170" spans="1:2">
      <c r="A170" s="27">
        <v>0</v>
      </c>
      <c r="B170" s="27">
        <v>0</v>
      </c>
    </row>
    <row r="171" spans="1:2">
      <c r="A171" s="27">
        <v>0</v>
      </c>
      <c r="B171" s="27">
        <v>0</v>
      </c>
    </row>
    <row r="172" spans="1:2">
      <c r="A172" s="27">
        <v>0</v>
      </c>
      <c r="B172" s="27">
        <v>1</v>
      </c>
    </row>
    <row r="173" spans="1:2">
      <c r="A173" s="27">
        <v>0</v>
      </c>
      <c r="B173" s="27">
        <v>0</v>
      </c>
    </row>
    <row r="174" spans="1:2">
      <c r="A174" s="27">
        <v>0</v>
      </c>
      <c r="B174" s="27">
        <v>0</v>
      </c>
    </row>
    <row r="175" spans="1:2">
      <c r="A175" s="27">
        <v>0</v>
      </c>
      <c r="B175" s="27">
        <v>0</v>
      </c>
    </row>
    <row r="176" spans="1:2">
      <c r="A176" s="27">
        <v>0</v>
      </c>
      <c r="B176" s="27">
        <v>0</v>
      </c>
    </row>
    <row r="177" spans="1:2">
      <c r="A177" s="27">
        <v>0</v>
      </c>
      <c r="B177" s="27">
        <v>0</v>
      </c>
    </row>
    <row r="178" spans="1:2">
      <c r="A178" s="27">
        <v>0</v>
      </c>
      <c r="B178" s="27">
        <v>0</v>
      </c>
    </row>
    <row r="179" spans="1:2">
      <c r="A179" s="27">
        <v>0</v>
      </c>
      <c r="B179" s="27">
        <v>0</v>
      </c>
    </row>
    <row r="180" spans="1:2">
      <c r="A180" s="27">
        <v>0</v>
      </c>
      <c r="B180" s="27">
        <v>0</v>
      </c>
    </row>
    <row r="181" spans="1:2">
      <c r="A181" s="27">
        <v>0</v>
      </c>
      <c r="B181" s="27">
        <v>0</v>
      </c>
    </row>
    <row r="182" spans="1:2">
      <c r="A182" s="27">
        <v>0</v>
      </c>
      <c r="B182" s="27">
        <v>0</v>
      </c>
    </row>
    <row r="183" spans="1:2">
      <c r="A183" s="27">
        <v>0</v>
      </c>
      <c r="B183" s="27">
        <v>0</v>
      </c>
    </row>
    <row r="184" spans="1:2">
      <c r="A184" s="27">
        <v>0</v>
      </c>
      <c r="B184" s="27">
        <v>0</v>
      </c>
    </row>
    <row r="185" spans="1:2">
      <c r="A185" s="27">
        <v>0</v>
      </c>
      <c r="B185" s="27">
        <v>0</v>
      </c>
    </row>
    <row r="186" spans="1:2">
      <c r="A186" s="27">
        <v>0</v>
      </c>
      <c r="B186" s="27">
        <v>0</v>
      </c>
    </row>
    <row r="187" spans="1:2">
      <c r="A187" s="27">
        <v>0</v>
      </c>
      <c r="B187" s="27">
        <v>0</v>
      </c>
    </row>
    <row r="188" spans="1:2">
      <c r="A188" s="27">
        <v>0</v>
      </c>
      <c r="B188" s="27">
        <v>0</v>
      </c>
    </row>
    <row r="189" spans="1:2">
      <c r="A189" s="27">
        <v>0</v>
      </c>
      <c r="B189" s="27">
        <v>0</v>
      </c>
    </row>
    <row r="190" spans="1:2">
      <c r="A190" s="27">
        <v>0</v>
      </c>
      <c r="B190" s="27">
        <v>0</v>
      </c>
    </row>
    <row r="191" spans="1:2">
      <c r="A191" s="27">
        <v>0</v>
      </c>
      <c r="B191" s="27">
        <v>0</v>
      </c>
    </row>
    <row r="192" spans="1:2">
      <c r="A192" s="27">
        <v>0</v>
      </c>
      <c r="B192" s="27">
        <v>0</v>
      </c>
    </row>
    <row r="193" spans="1:2">
      <c r="A193" s="27">
        <v>0</v>
      </c>
      <c r="B193" s="27">
        <v>0</v>
      </c>
    </row>
    <row r="194" spans="1:2">
      <c r="A194" s="27">
        <v>0</v>
      </c>
      <c r="B194" s="27">
        <v>0</v>
      </c>
    </row>
    <row r="195" spans="1:2">
      <c r="A195" s="27">
        <v>0</v>
      </c>
      <c r="B195" s="27">
        <v>0</v>
      </c>
    </row>
    <row r="196" spans="1:2">
      <c r="A196" s="27">
        <v>0</v>
      </c>
      <c r="B196" s="27">
        <v>0</v>
      </c>
    </row>
    <row r="197" spans="1:2">
      <c r="A197" s="27">
        <v>0</v>
      </c>
      <c r="B197" s="27">
        <v>0</v>
      </c>
    </row>
    <row r="198" spans="1:2">
      <c r="A198" s="27">
        <v>0</v>
      </c>
      <c r="B198" s="27">
        <v>0</v>
      </c>
    </row>
    <row r="199" spans="1:2">
      <c r="A199" s="27">
        <v>0</v>
      </c>
      <c r="B199" s="27">
        <v>0</v>
      </c>
    </row>
    <row r="200" spans="1:2">
      <c r="A200" s="27">
        <v>1</v>
      </c>
      <c r="B200" s="27">
        <v>0</v>
      </c>
    </row>
    <row r="201" spans="1:2">
      <c r="A201" s="27">
        <v>0</v>
      </c>
      <c r="B201" s="27">
        <v>0</v>
      </c>
    </row>
    <row r="202" spans="1:2">
      <c r="A202" s="27">
        <v>0</v>
      </c>
      <c r="B202" s="27">
        <v>1</v>
      </c>
    </row>
    <row r="203" spans="1:2">
      <c r="A203" s="27">
        <v>0</v>
      </c>
      <c r="B203" s="27">
        <v>0</v>
      </c>
    </row>
    <row r="204" spans="1:2">
      <c r="A204" s="27">
        <v>0</v>
      </c>
      <c r="B204" s="27">
        <v>0</v>
      </c>
    </row>
    <row r="205" spans="1:2">
      <c r="A205" s="27">
        <v>0</v>
      </c>
      <c r="B205" s="27">
        <v>0</v>
      </c>
    </row>
    <row r="206" spans="1:2">
      <c r="A206" s="27">
        <v>0</v>
      </c>
      <c r="B206" s="27">
        <v>0</v>
      </c>
    </row>
    <row r="207" spans="1:2">
      <c r="A207" s="27">
        <v>0</v>
      </c>
      <c r="B207" s="27">
        <v>0</v>
      </c>
    </row>
    <row r="208" spans="1:2">
      <c r="A208" s="27">
        <v>0</v>
      </c>
      <c r="B208" s="27">
        <v>0</v>
      </c>
    </row>
    <row r="209" spans="1:2">
      <c r="A209" s="27">
        <v>0</v>
      </c>
      <c r="B209" s="27">
        <v>0</v>
      </c>
    </row>
    <row r="210" spans="1:2">
      <c r="A210" s="27">
        <v>0</v>
      </c>
      <c r="B210" s="27">
        <v>0</v>
      </c>
    </row>
    <row r="211" spans="1:2">
      <c r="A211" s="27">
        <v>0</v>
      </c>
      <c r="B211" s="27">
        <v>0</v>
      </c>
    </row>
    <row r="212" spans="1:2">
      <c r="A212" s="27">
        <v>0</v>
      </c>
      <c r="B212" s="27">
        <v>0</v>
      </c>
    </row>
    <row r="213" spans="1:2">
      <c r="A213" s="27">
        <v>0</v>
      </c>
      <c r="B213" s="27">
        <v>0</v>
      </c>
    </row>
    <row r="214" spans="1:2">
      <c r="A214" s="27">
        <v>1</v>
      </c>
      <c r="B214" s="27">
        <v>0</v>
      </c>
    </row>
    <row r="215" spans="1:2">
      <c r="A215" s="27">
        <v>0</v>
      </c>
      <c r="B215" s="27">
        <v>0</v>
      </c>
    </row>
    <row r="216" spans="1:2">
      <c r="A216" s="27">
        <v>0</v>
      </c>
      <c r="B216" s="27">
        <v>0</v>
      </c>
    </row>
    <row r="217" spans="1:2">
      <c r="A217" s="27">
        <v>0</v>
      </c>
      <c r="B217" s="27">
        <v>0</v>
      </c>
    </row>
    <row r="218" spans="1:2">
      <c r="A218" s="27">
        <v>0</v>
      </c>
      <c r="B218" s="27">
        <v>1</v>
      </c>
    </row>
    <row r="219" spans="1:2">
      <c r="A219" s="27">
        <v>0</v>
      </c>
      <c r="B219" s="27">
        <v>0</v>
      </c>
    </row>
    <row r="220" spans="1:2">
      <c r="A220" s="27">
        <v>0</v>
      </c>
      <c r="B220" s="27">
        <v>0</v>
      </c>
    </row>
    <row r="221" spans="1:2">
      <c r="A221" s="27">
        <v>0</v>
      </c>
      <c r="B221" s="27">
        <v>0</v>
      </c>
    </row>
    <row r="222" spans="1:2">
      <c r="A222" s="27">
        <v>0</v>
      </c>
      <c r="B222" s="27">
        <v>0</v>
      </c>
    </row>
    <row r="223" spans="1:2">
      <c r="A223" s="27">
        <v>0</v>
      </c>
      <c r="B223" s="27">
        <v>0</v>
      </c>
    </row>
    <row r="224" spans="1:2">
      <c r="A224" s="27">
        <v>0</v>
      </c>
      <c r="B224" s="27">
        <v>0</v>
      </c>
    </row>
    <row r="225" spans="1:2">
      <c r="A225" s="27">
        <v>0</v>
      </c>
      <c r="B225" s="27">
        <v>0</v>
      </c>
    </row>
    <row r="226" spans="1:2">
      <c r="A226" s="27">
        <v>0</v>
      </c>
      <c r="B226" s="27">
        <v>0</v>
      </c>
    </row>
    <row r="227" spans="1:2">
      <c r="A227" s="27">
        <v>0</v>
      </c>
      <c r="B227" s="27">
        <v>0</v>
      </c>
    </row>
    <row r="228" spans="1:2">
      <c r="A228" s="27">
        <v>0</v>
      </c>
      <c r="B228" s="27">
        <v>0</v>
      </c>
    </row>
    <row r="229" spans="1:2">
      <c r="A229" s="27">
        <v>0</v>
      </c>
      <c r="B229" s="27">
        <v>0</v>
      </c>
    </row>
    <row r="230" spans="1:2">
      <c r="A230" s="27">
        <v>0</v>
      </c>
      <c r="B230" s="27">
        <v>0</v>
      </c>
    </row>
    <row r="231" spans="1:2">
      <c r="A231" s="27">
        <v>0</v>
      </c>
      <c r="B231" s="27">
        <v>0</v>
      </c>
    </row>
    <row r="232" spans="1:2">
      <c r="A232" s="27">
        <v>0</v>
      </c>
      <c r="B232" s="27">
        <v>0</v>
      </c>
    </row>
    <row r="233" spans="1:2">
      <c r="A233" s="27">
        <v>0</v>
      </c>
      <c r="B233" s="27">
        <v>0</v>
      </c>
    </row>
    <row r="234" spans="1:2">
      <c r="A234" s="27">
        <v>0</v>
      </c>
      <c r="B234" s="27">
        <v>1</v>
      </c>
    </row>
    <row r="235" spans="1:2">
      <c r="A235" s="27">
        <v>0</v>
      </c>
      <c r="B235" s="27">
        <v>0</v>
      </c>
    </row>
    <row r="236" spans="1:2">
      <c r="A236" s="27">
        <v>0</v>
      </c>
      <c r="B236" s="27">
        <v>0</v>
      </c>
    </row>
    <row r="237" spans="1:2">
      <c r="A237" s="27">
        <v>0</v>
      </c>
      <c r="B237" s="27">
        <v>0</v>
      </c>
    </row>
    <row r="238" spans="1:2">
      <c r="A238" s="27">
        <v>0</v>
      </c>
      <c r="B238" s="27">
        <v>0</v>
      </c>
    </row>
    <row r="239" spans="1:2">
      <c r="A239" s="27">
        <v>0</v>
      </c>
      <c r="B239" s="27">
        <v>0</v>
      </c>
    </row>
    <row r="240" spans="1:2">
      <c r="A240" s="27">
        <v>0</v>
      </c>
      <c r="B240" s="27">
        <v>0</v>
      </c>
    </row>
    <row r="241" spans="1:2">
      <c r="A241" s="27">
        <v>0</v>
      </c>
      <c r="B241" s="27">
        <v>0</v>
      </c>
    </row>
    <row r="242" spans="1:2">
      <c r="A242" s="27">
        <v>0</v>
      </c>
      <c r="B242" s="27">
        <v>0</v>
      </c>
    </row>
    <row r="243" spans="1:2">
      <c r="A243" s="27">
        <v>0</v>
      </c>
      <c r="B243" s="27">
        <v>0</v>
      </c>
    </row>
    <row r="244" spans="1:2">
      <c r="A244" s="27">
        <v>0</v>
      </c>
      <c r="B244" s="27">
        <v>1</v>
      </c>
    </row>
    <row r="245" spans="1:2">
      <c r="A245" s="27">
        <v>0</v>
      </c>
      <c r="B245" s="27">
        <v>0</v>
      </c>
    </row>
    <row r="246" spans="1:2">
      <c r="A246" s="27">
        <v>0</v>
      </c>
      <c r="B246" s="27">
        <v>0</v>
      </c>
    </row>
    <row r="247" spans="1:2">
      <c r="A247" s="27">
        <v>0</v>
      </c>
      <c r="B247" s="27">
        <v>0</v>
      </c>
    </row>
    <row r="248" spans="1:2">
      <c r="A248" s="27">
        <v>0</v>
      </c>
      <c r="B248" s="27">
        <v>0</v>
      </c>
    </row>
    <row r="249" spans="1:2">
      <c r="A249" s="27">
        <v>0</v>
      </c>
      <c r="B249" s="27">
        <v>0</v>
      </c>
    </row>
    <row r="250" spans="1:2">
      <c r="A250" s="27">
        <v>0</v>
      </c>
      <c r="B250" s="27">
        <v>0</v>
      </c>
    </row>
    <row r="251" spans="1:2">
      <c r="A251" s="27">
        <v>0</v>
      </c>
      <c r="B251" s="27">
        <v>0</v>
      </c>
    </row>
    <row r="252" spans="1:2">
      <c r="A252" s="27">
        <v>0</v>
      </c>
      <c r="B252" s="27">
        <v>0</v>
      </c>
    </row>
    <row r="253" spans="1:2">
      <c r="A253" s="27">
        <v>0</v>
      </c>
      <c r="B253" s="27">
        <v>0</v>
      </c>
    </row>
    <row r="254" spans="1:2">
      <c r="A254" s="27">
        <v>1</v>
      </c>
      <c r="B254" s="27">
        <v>0</v>
      </c>
    </row>
    <row r="255" spans="1:2">
      <c r="A255" s="27">
        <v>0</v>
      </c>
      <c r="B255" s="27">
        <v>0</v>
      </c>
    </row>
    <row r="256" spans="1:2">
      <c r="A256" s="27">
        <v>0</v>
      </c>
      <c r="B256" s="27">
        <v>1</v>
      </c>
    </row>
    <row r="257" spans="1:2">
      <c r="A257" s="27">
        <v>0</v>
      </c>
      <c r="B257" s="27">
        <v>0</v>
      </c>
    </row>
    <row r="258" spans="1:2">
      <c r="A258" s="27">
        <v>0</v>
      </c>
      <c r="B258" s="27">
        <v>0</v>
      </c>
    </row>
    <row r="259" spans="1:2">
      <c r="A259" s="27">
        <v>0</v>
      </c>
      <c r="B259" s="27">
        <v>0</v>
      </c>
    </row>
    <row r="260" spans="1:2">
      <c r="A260" s="27">
        <v>0</v>
      </c>
      <c r="B260" s="27">
        <v>0</v>
      </c>
    </row>
    <row r="261" spans="1:2">
      <c r="A261" s="27">
        <v>0</v>
      </c>
      <c r="B261" s="27">
        <v>1</v>
      </c>
    </row>
    <row r="262" spans="1:2">
      <c r="A262" s="27">
        <v>0</v>
      </c>
      <c r="B262" s="27">
        <v>0</v>
      </c>
    </row>
    <row r="263" spans="1:2">
      <c r="A263" s="27">
        <v>0</v>
      </c>
      <c r="B263" s="27">
        <v>0</v>
      </c>
    </row>
    <row r="264" spans="1:2">
      <c r="A264" s="27">
        <v>0</v>
      </c>
      <c r="B264" s="27">
        <v>0</v>
      </c>
    </row>
    <row r="265" spans="1:2">
      <c r="A265" s="27">
        <v>0</v>
      </c>
      <c r="B265" s="27">
        <v>0</v>
      </c>
    </row>
    <row r="266" spans="1:2">
      <c r="A266" s="27">
        <v>0</v>
      </c>
      <c r="B266" s="27">
        <v>0</v>
      </c>
    </row>
    <row r="267" spans="1:2">
      <c r="A267" s="27">
        <v>0</v>
      </c>
      <c r="B267" s="27">
        <v>0</v>
      </c>
    </row>
    <row r="268" spans="1:2">
      <c r="A268" s="27">
        <v>0</v>
      </c>
      <c r="B268" s="27">
        <v>0</v>
      </c>
    </row>
    <row r="269" spans="1:2">
      <c r="A269" s="27">
        <v>0</v>
      </c>
      <c r="B269" s="27">
        <v>0</v>
      </c>
    </row>
    <row r="270" spans="1:2">
      <c r="A270" s="27">
        <v>0</v>
      </c>
      <c r="B270" s="27">
        <v>0</v>
      </c>
    </row>
    <row r="271" spans="1:2">
      <c r="A271" s="27">
        <v>0</v>
      </c>
      <c r="B271" s="27">
        <v>0</v>
      </c>
    </row>
    <row r="272" spans="1:2">
      <c r="A272" s="27">
        <v>0</v>
      </c>
      <c r="B272" s="27">
        <v>0</v>
      </c>
    </row>
    <row r="273" spans="1:2">
      <c r="A273" s="27">
        <v>0</v>
      </c>
      <c r="B273" s="27">
        <v>0</v>
      </c>
    </row>
    <row r="274" spans="1:2">
      <c r="A274" s="27">
        <v>0</v>
      </c>
      <c r="B274" s="27">
        <v>0</v>
      </c>
    </row>
    <row r="275" spans="1:2">
      <c r="A275" s="27">
        <v>0</v>
      </c>
      <c r="B275" s="27">
        <v>0</v>
      </c>
    </row>
    <row r="276" spans="1:2">
      <c r="A276" s="27">
        <v>0</v>
      </c>
      <c r="B276" s="27">
        <v>0</v>
      </c>
    </row>
    <row r="277" spans="1:2">
      <c r="A277" s="27">
        <v>0</v>
      </c>
      <c r="B277" s="27">
        <v>0</v>
      </c>
    </row>
    <row r="278" spans="1:2">
      <c r="A278" s="27">
        <v>0</v>
      </c>
      <c r="B278" s="27">
        <v>0</v>
      </c>
    </row>
    <row r="279" spans="1:2">
      <c r="A279" s="27">
        <v>0</v>
      </c>
      <c r="B279" s="27">
        <v>0</v>
      </c>
    </row>
    <row r="280" spans="1:2">
      <c r="A280" s="27">
        <v>0</v>
      </c>
      <c r="B280" s="27">
        <v>0</v>
      </c>
    </row>
    <row r="281" spans="1:2">
      <c r="A281" s="27">
        <v>0</v>
      </c>
      <c r="B281" s="27">
        <v>0</v>
      </c>
    </row>
    <row r="282" spans="1:2">
      <c r="A282" s="27">
        <v>0</v>
      </c>
      <c r="B282" s="27">
        <v>0</v>
      </c>
    </row>
    <row r="283" spans="1:2">
      <c r="A283" s="27">
        <v>0</v>
      </c>
      <c r="B283" s="27">
        <v>0</v>
      </c>
    </row>
    <row r="284" spans="1:2">
      <c r="A284" s="27">
        <v>0</v>
      </c>
      <c r="B284" s="27">
        <v>0</v>
      </c>
    </row>
    <row r="285" spans="1:2">
      <c r="A285" s="27">
        <v>0</v>
      </c>
      <c r="B285" s="27">
        <v>0</v>
      </c>
    </row>
    <row r="286" spans="1:2">
      <c r="A286" s="27">
        <v>0</v>
      </c>
      <c r="B286" s="27">
        <v>0</v>
      </c>
    </row>
    <row r="287" spans="1:2">
      <c r="A287" s="27">
        <v>0</v>
      </c>
      <c r="B287" s="27">
        <v>0</v>
      </c>
    </row>
    <row r="288" spans="1:2">
      <c r="A288" s="27">
        <v>0</v>
      </c>
      <c r="B288" s="27">
        <v>0</v>
      </c>
    </row>
    <row r="289" spans="1:2">
      <c r="A289" s="27">
        <v>0</v>
      </c>
      <c r="B289" s="27">
        <v>0</v>
      </c>
    </row>
    <row r="290" spans="1:2">
      <c r="A290" s="27">
        <v>0</v>
      </c>
      <c r="B290" s="27">
        <v>0</v>
      </c>
    </row>
    <row r="291" spans="1:2">
      <c r="A291" s="27">
        <v>0</v>
      </c>
      <c r="B291" s="27">
        <v>0</v>
      </c>
    </row>
    <row r="292" spans="1:2">
      <c r="A292" s="27">
        <v>0</v>
      </c>
      <c r="B292" s="27">
        <v>0</v>
      </c>
    </row>
    <row r="293" spans="1:2">
      <c r="A293" s="27">
        <v>0</v>
      </c>
      <c r="B293" s="27">
        <v>0</v>
      </c>
    </row>
    <row r="294" spans="1:2">
      <c r="A294" s="27">
        <v>0</v>
      </c>
      <c r="B294" s="27">
        <v>0</v>
      </c>
    </row>
    <row r="295" spans="1:2">
      <c r="A295" s="27">
        <v>0</v>
      </c>
      <c r="B295" s="27">
        <v>0</v>
      </c>
    </row>
    <row r="296" spans="1:2">
      <c r="A296" s="27">
        <v>0</v>
      </c>
      <c r="B296" s="27">
        <v>0</v>
      </c>
    </row>
    <row r="297" spans="1:2">
      <c r="A297" s="27">
        <v>0</v>
      </c>
      <c r="B297" s="27">
        <v>0</v>
      </c>
    </row>
    <row r="298" spans="1:2">
      <c r="A298" s="27">
        <v>0</v>
      </c>
      <c r="B298" s="27">
        <v>0</v>
      </c>
    </row>
    <row r="299" spans="1:2">
      <c r="A299" s="27">
        <v>0</v>
      </c>
      <c r="B299" s="27">
        <v>0</v>
      </c>
    </row>
    <row r="300" spans="1:2">
      <c r="A300" s="27">
        <v>0</v>
      </c>
      <c r="B300" s="27">
        <v>0</v>
      </c>
    </row>
    <row r="301" spans="1:2">
      <c r="A301" s="27">
        <v>0</v>
      </c>
      <c r="B301" s="27">
        <v>0</v>
      </c>
    </row>
    <row r="302" spans="1:2">
      <c r="A302" s="27">
        <v>0</v>
      </c>
      <c r="B302" s="27">
        <v>0</v>
      </c>
    </row>
    <row r="303" spans="1:2">
      <c r="A303" s="27">
        <v>1</v>
      </c>
      <c r="B303" s="27">
        <v>0</v>
      </c>
    </row>
    <row r="304" spans="1:2">
      <c r="A304" s="27">
        <v>0</v>
      </c>
      <c r="B304" s="27">
        <v>0</v>
      </c>
    </row>
    <row r="305" spans="1:2">
      <c r="A305" s="27">
        <v>0</v>
      </c>
      <c r="B305" s="27">
        <v>0</v>
      </c>
    </row>
    <row r="306" spans="1:2">
      <c r="A306" s="27">
        <v>1</v>
      </c>
      <c r="B306" s="27">
        <v>1</v>
      </c>
    </row>
    <row r="307" spans="1:2">
      <c r="A307" s="27">
        <v>0</v>
      </c>
      <c r="B307" s="27">
        <v>0</v>
      </c>
    </row>
    <row r="308" spans="1:2">
      <c r="A308" s="27">
        <v>0</v>
      </c>
      <c r="B308" s="27">
        <v>0</v>
      </c>
    </row>
    <row r="309" spans="1:2">
      <c r="A309" s="27">
        <v>0</v>
      </c>
      <c r="B309" s="27">
        <v>0</v>
      </c>
    </row>
    <row r="310" spans="1:2">
      <c r="A310" s="27">
        <v>0</v>
      </c>
      <c r="B310" s="27">
        <v>1</v>
      </c>
    </row>
    <row r="311" spans="1:2">
      <c r="A311" s="27">
        <v>1</v>
      </c>
      <c r="B311" s="27">
        <v>0</v>
      </c>
    </row>
    <row r="312" spans="1:2">
      <c r="A312" s="27">
        <v>0</v>
      </c>
      <c r="B312" s="27">
        <v>0</v>
      </c>
    </row>
    <row r="313" spans="1:2">
      <c r="A313" s="27">
        <v>0</v>
      </c>
      <c r="B313" s="27">
        <v>0</v>
      </c>
    </row>
    <row r="314" spans="1:2">
      <c r="A314" s="27">
        <v>0</v>
      </c>
      <c r="B314" s="27">
        <v>0</v>
      </c>
    </row>
    <row r="315" spans="1:2">
      <c r="A315" s="27">
        <v>0</v>
      </c>
      <c r="B315" s="27">
        <v>0</v>
      </c>
    </row>
    <row r="316" spans="1:2">
      <c r="A316" s="27">
        <v>0</v>
      </c>
      <c r="B316" s="27">
        <v>0</v>
      </c>
    </row>
    <row r="317" spans="1:2">
      <c r="A317" s="27">
        <v>0</v>
      </c>
      <c r="B317" s="27">
        <v>0</v>
      </c>
    </row>
    <row r="318" spans="1:2">
      <c r="A318" s="27">
        <v>0</v>
      </c>
      <c r="B318" s="27">
        <v>0</v>
      </c>
    </row>
    <row r="319" spans="1:2">
      <c r="A319" s="27">
        <v>0</v>
      </c>
      <c r="B319" s="27">
        <v>0</v>
      </c>
    </row>
    <row r="320" spans="1:2">
      <c r="A320" s="27">
        <v>0</v>
      </c>
      <c r="B320" s="27">
        <v>0</v>
      </c>
    </row>
    <row r="321" spans="1:2">
      <c r="A321" s="27">
        <v>0</v>
      </c>
      <c r="B321" s="27">
        <v>0</v>
      </c>
    </row>
    <row r="322" spans="1:2">
      <c r="A322" s="27">
        <v>0</v>
      </c>
      <c r="B322" s="27">
        <v>0</v>
      </c>
    </row>
    <row r="323" spans="1:2">
      <c r="A323" s="27">
        <v>0</v>
      </c>
      <c r="B323" s="27">
        <v>0</v>
      </c>
    </row>
    <row r="324" spans="1:2">
      <c r="A324" s="27">
        <v>0</v>
      </c>
      <c r="B324" s="27">
        <v>0</v>
      </c>
    </row>
    <row r="325" spans="1:2">
      <c r="A325" s="27">
        <v>0</v>
      </c>
      <c r="B325" s="27">
        <v>1</v>
      </c>
    </row>
    <row r="326" spans="1:2">
      <c r="A326" s="27">
        <v>0</v>
      </c>
      <c r="B326" s="27">
        <v>0</v>
      </c>
    </row>
    <row r="327" spans="1:2">
      <c r="A327" s="27">
        <v>0</v>
      </c>
      <c r="B327" s="27">
        <v>0</v>
      </c>
    </row>
    <row r="328" spans="1:2">
      <c r="A328" s="27">
        <v>0</v>
      </c>
      <c r="B328" s="27">
        <v>0</v>
      </c>
    </row>
    <row r="329" spans="1:2">
      <c r="A329" s="27">
        <v>0</v>
      </c>
      <c r="B329" s="27">
        <v>0</v>
      </c>
    </row>
    <row r="330" spans="1:2">
      <c r="A330" s="27">
        <v>0</v>
      </c>
      <c r="B330" s="27">
        <v>0</v>
      </c>
    </row>
    <row r="331" spans="1:2">
      <c r="A331" s="27">
        <v>0</v>
      </c>
      <c r="B331" s="27">
        <v>0</v>
      </c>
    </row>
    <row r="332" spans="1:2">
      <c r="A332" s="27">
        <v>0</v>
      </c>
      <c r="B332" s="27">
        <v>0</v>
      </c>
    </row>
    <row r="333" spans="1:2">
      <c r="A333" s="27">
        <v>0</v>
      </c>
      <c r="B333" s="27">
        <v>0</v>
      </c>
    </row>
    <row r="334" spans="1:2">
      <c r="A334" s="27">
        <v>1</v>
      </c>
      <c r="B334" s="27">
        <v>0</v>
      </c>
    </row>
    <row r="335" spans="1:2">
      <c r="A335" s="27">
        <v>0</v>
      </c>
      <c r="B335" s="27">
        <v>0</v>
      </c>
    </row>
    <row r="336" spans="1:2">
      <c r="A336" s="27">
        <v>0</v>
      </c>
      <c r="B336" s="27">
        <v>0</v>
      </c>
    </row>
    <row r="337" spans="1:2">
      <c r="A337" s="27">
        <v>0</v>
      </c>
      <c r="B337" s="27">
        <v>0</v>
      </c>
    </row>
    <row r="338" spans="1:2">
      <c r="A338" s="27">
        <v>1</v>
      </c>
      <c r="B338" s="27">
        <v>1</v>
      </c>
    </row>
    <row r="339" spans="1:2">
      <c r="A339" s="27">
        <v>1</v>
      </c>
      <c r="B339" s="27">
        <v>0</v>
      </c>
    </row>
    <row r="340" spans="1:2">
      <c r="A340" s="27">
        <v>0</v>
      </c>
      <c r="B340" s="27">
        <v>0</v>
      </c>
    </row>
    <row r="341" spans="1:2">
      <c r="A341" s="27">
        <v>0</v>
      </c>
      <c r="B341" s="27">
        <v>0</v>
      </c>
    </row>
    <row r="342" spans="1:2">
      <c r="A342" s="27">
        <v>0</v>
      </c>
      <c r="B342" s="27">
        <v>0</v>
      </c>
    </row>
    <row r="343" spans="1:2">
      <c r="A343" s="27">
        <v>0</v>
      </c>
      <c r="B343" s="27">
        <v>0</v>
      </c>
    </row>
    <row r="344" spans="1:2">
      <c r="A344" s="27">
        <v>0</v>
      </c>
      <c r="B344" s="27">
        <v>0</v>
      </c>
    </row>
    <row r="345" spans="1:2">
      <c r="A345" s="27">
        <v>0</v>
      </c>
      <c r="B345" s="27">
        <v>0</v>
      </c>
    </row>
    <row r="346" spans="1:2">
      <c r="A346" s="27">
        <v>0</v>
      </c>
      <c r="B346" s="27">
        <v>0</v>
      </c>
    </row>
    <row r="347" spans="1:2">
      <c r="A347" s="27">
        <v>0</v>
      </c>
      <c r="B347" s="27">
        <v>0</v>
      </c>
    </row>
    <row r="348" spans="1:2">
      <c r="A348" s="27">
        <v>0</v>
      </c>
      <c r="B348" s="27">
        <v>0</v>
      </c>
    </row>
    <row r="349" spans="1:2">
      <c r="A349" s="27">
        <v>0</v>
      </c>
      <c r="B349" s="27">
        <v>0</v>
      </c>
    </row>
    <row r="350" spans="1:2">
      <c r="A350" s="27">
        <v>0</v>
      </c>
      <c r="B350" s="27">
        <v>0</v>
      </c>
    </row>
    <row r="351" spans="1:2">
      <c r="A351" s="27">
        <v>0</v>
      </c>
      <c r="B351" s="27">
        <v>0</v>
      </c>
    </row>
    <row r="352" spans="1:2">
      <c r="A352" s="27">
        <v>0</v>
      </c>
      <c r="B352" s="27">
        <v>0</v>
      </c>
    </row>
    <row r="353" spans="1:2">
      <c r="A353" s="27">
        <v>0</v>
      </c>
      <c r="B353" s="27">
        <v>0</v>
      </c>
    </row>
    <row r="354" spans="1:2">
      <c r="A354" s="27">
        <v>0</v>
      </c>
      <c r="B354" s="27">
        <v>0</v>
      </c>
    </row>
    <row r="355" spans="1:2">
      <c r="A355" s="27">
        <v>0</v>
      </c>
      <c r="B355" s="27">
        <v>0</v>
      </c>
    </row>
    <row r="356" spans="1:2">
      <c r="A356" s="27">
        <v>0</v>
      </c>
      <c r="B356" s="27">
        <v>0</v>
      </c>
    </row>
    <row r="357" spans="1:2">
      <c r="A357" s="27">
        <v>0</v>
      </c>
      <c r="B357" s="27">
        <v>0</v>
      </c>
    </row>
    <row r="358" spans="1:2">
      <c r="A358" s="27">
        <v>0</v>
      </c>
      <c r="B358" s="27">
        <v>0</v>
      </c>
    </row>
    <row r="359" spans="1:2">
      <c r="A359" s="27">
        <v>0</v>
      </c>
      <c r="B359" s="27">
        <v>0</v>
      </c>
    </row>
    <row r="360" spans="1:2">
      <c r="A360" s="27">
        <v>0</v>
      </c>
      <c r="B360" s="27">
        <v>0</v>
      </c>
    </row>
    <row r="361" spans="1:2">
      <c r="A361" s="27">
        <v>0</v>
      </c>
      <c r="B361" s="27">
        <v>0</v>
      </c>
    </row>
    <row r="362" spans="1:2">
      <c r="A362" s="27">
        <v>0</v>
      </c>
      <c r="B362" s="27">
        <v>0</v>
      </c>
    </row>
    <row r="363" spans="1:2">
      <c r="A363" s="27">
        <v>0</v>
      </c>
      <c r="B363" s="27">
        <v>0</v>
      </c>
    </row>
    <row r="364" spans="1:2">
      <c r="A364" s="27">
        <v>0</v>
      </c>
      <c r="B364" s="27">
        <v>0</v>
      </c>
    </row>
    <row r="365" spans="1:2">
      <c r="A365" s="27">
        <v>0</v>
      </c>
      <c r="B365" s="27">
        <v>0</v>
      </c>
    </row>
    <row r="366" spans="1:2">
      <c r="A366" s="27">
        <v>0</v>
      </c>
      <c r="B366" s="27">
        <v>1</v>
      </c>
    </row>
    <row r="367" spans="1:2">
      <c r="A367" s="27">
        <v>0</v>
      </c>
      <c r="B367" s="27">
        <v>0</v>
      </c>
    </row>
    <row r="368" spans="1:2">
      <c r="A368" s="27">
        <v>0</v>
      </c>
      <c r="B368" s="27">
        <v>0</v>
      </c>
    </row>
    <row r="369" spans="1:2">
      <c r="A369" s="27">
        <v>0</v>
      </c>
      <c r="B369" s="27">
        <v>0</v>
      </c>
    </row>
    <row r="370" spans="1:2">
      <c r="A370" s="27">
        <v>0</v>
      </c>
      <c r="B370" s="27">
        <v>0</v>
      </c>
    </row>
    <row r="371" spans="1:2">
      <c r="A371" s="27">
        <v>0</v>
      </c>
      <c r="B371" s="27">
        <v>0</v>
      </c>
    </row>
    <row r="372" spans="1:2">
      <c r="A372" s="27">
        <v>0</v>
      </c>
      <c r="B372" s="27">
        <v>0</v>
      </c>
    </row>
    <row r="373" spans="1:2">
      <c r="A373" s="27">
        <v>0</v>
      </c>
      <c r="B373" s="27">
        <v>0</v>
      </c>
    </row>
    <row r="374" spans="1:2">
      <c r="A374" s="27">
        <v>0</v>
      </c>
      <c r="B374" s="27">
        <v>0</v>
      </c>
    </row>
    <row r="375" spans="1:2">
      <c r="A375" s="27">
        <v>0</v>
      </c>
      <c r="B375" s="27">
        <v>1</v>
      </c>
    </row>
    <row r="376" spans="1:2">
      <c r="A376" s="27">
        <v>0</v>
      </c>
      <c r="B376" s="27">
        <v>0</v>
      </c>
    </row>
    <row r="377" spans="1:2">
      <c r="A377" s="27">
        <v>0</v>
      </c>
      <c r="B377" s="27">
        <v>0</v>
      </c>
    </row>
    <row r="378" spans="1:2">
      <c r="A378" s="27">
        <v>0</v>
      </c>
      <c r="B378" s="27">
        <v>0</v>
      </c>
    </row>
    <row r="379" spans="1:2">
      <c r="A379" s="27">
        <v>0</v>
      </c>
      <c r="B379" s="27">
        <v>0</v>
      </c>
    </row>
    <row r="380" spans="1:2">
      <c r="A380" s="27">
        <v>0</v>
      </c>
      <c r="B380" s="27">
        <v>0</v>
      </c>
    </row>
    <row r="381" spans="1:2">
      <c r="A381" s="27">
        <v>0</v>
      </c>
      <c r="B381" s="27">
        <v>0</v>
      </c>
    </row>
    <row r="382" spans="1:2">
      <c r="A382" s="27">
        <v>0</v>
      </c>
      <c r="B382" s="27">
        <v>0</v>
      </c>
    </row>
    <row r="383" spans="1:2">
      <c r="A383" s="27">
        <v>0</v>
      </c>
      <c r="B383" s="27">
        <v>0</v>
      </c>
    </row>
    <row r="384" spans="1:2">
      <c r="A384" s="27">
        <v>0</v>
      </c>
      <c r="B384" s="27">
        <v>0</v>
      </c>
    </row>
    <row r="385" spans="1:2">
      <c r="A385" s="27">
        <v>0</v>
      </c>
      <c r="B385" s="27">
        <v>0</v>
      </c>
    </row>
    <row r="386" spans="1:2">
      <c r="A386" s="27">
        <v>0</v>
      </c>
      <c r="B386" s="27">
        <v>0</v>
      </c>
    </row>
    <row r="387" spans="1:2">
      <c r="A387" s="27">
        <v>0</v>
      </c>
      <c r="B387" s="27">
        <v>1</v>
      </c>
    </row>
    <row r="388" spans="1:2">
      <c r="A388" s="27">
        <v>0</v>
      </c>
      <c r="B388" s="27">
        <v>0</v>
      </c>
    </row>
    <row r="389" spans="1:2">
      <c r="A389" s="27">
        <v>0</v>
      </c>
      <c r="B389" s="27">
        <v>0</v>
      </c>
    </row>
    <row r="390" spans="1:2">
      <c r="A390" s="27">
        <v>0</v>
      </c>
      <c r="B390" s="27">
        <v>1</v>
      </c>
    </row>
    <row r="391" spans="1:2">
      <c r="A391" s="27">
        <v>0</v>
      </c>
      <c r="B391" s="27">
        <v>1</v>
      </c>
    </row>
    <row r="392" spans="1:2">
      <c r="A392" s="27">
        <v>0</v>
      </c>
      <c r="B392" s="27">
        <v>0</v>
      </c>
    </row>
    <row r="393" spans="1:2">
      <c r="A393" s="27">
        <v>0</v>
      </c>
      <c r="B393" s="27">
        <v>0</v>
      </c>
    </row>
    <row r="394" spans="1:2">
      <c r="A394" s="27">
        <v>0</v>
      </c>
      <c r="B394" s="27">
        <v>0</v>
      </c>
    </row>
    <row r="395" spans="1:2">
      <c r="A395" s="27">
        <v>0</v>
      </c>
      <c r="B395" s="27">
        <v>0</v>
      </c>
    </row>
    <row r="396" spans="1:2">
      <c r="A396" s="27">
        <v>0</v>
      </c>
      <c r="B396" s="27">
        <v>0</v>
      </c>
    </row>
    <row r="397" spans="1:2">
      <c r="A397" s="27">
        <v>0</v>
      </c>
      <c r="B397" s="27">
        <v>0</v>
      </c>
    </row>
    <row r="398" spans="1:2">
      <c r="A398" s="27">
        <v>0</v>
      </c>
      <c r="B398" s="27">
        <v>0</v>
      </c>
    </row>
    <row r="399" spans="1:2">
      <c r="A399" s="27">
        <v>0</v>
      </c>
      <c r="B399" s="27">
        <v>0</v>
      </c>
    </row>
    <row r="400" spans="1:2">
      <c r="A400" s="27">
        <v>0</v>
      </c>
      <c r="B400" s="27">
        <v>0</v>
      </c>
    </row>
    <row r="401" spans="1:2">
      <c r="A401" s="27">
        <v>0</v>
      </c>
      <c r="B401" s="27">
        <v>0</v>
      </c>
    </row>
    <row r="402" spans="1:2">
      <c r="A402" s="27">
        <v>0</v>
      </c>
      <c r="B402" s="27">
        <v>0</v>
      </c>
    </row>
    <row r="403" spans="1:2">
      <c r="A403" s="27">
        <v>0</v>
      </c>
      <c r="B403" s="27">
        <v>0</v>
      </c>
    </row>
    <row r="404" spans="1:2">
      <c r="A404" s="27">
        <v>0</v>
      </c>
      <c r="B404" s="27">
        <v>0</v>
      </c>
    </row>
    <row r="405" spans="1:2">
      <c r="A405" s="27">
        <v>0</v>
      </c>
      <c r="B405" s="27">
        <v>0</v>
      </c>
    </row>
    <row r="406" spans="1:2">
      <c r="A406" s="27">
        <v>0</v>
      </c>
      <c r="B406" s="27">
        <v>0</v>
      </c>
    </row>
    <row r="407" spans="1:2">
      <c r="A407" s="27">
        <v>0</v>
      </c>
      <c r="B407" s="27">
        <v>0</v>
      </c>
    </row>
    <row r="408" spans="1:2">
      <c r="A408" s="27">
        <v>0</v>
      </c>
      <c r="B408" s="27">
        <v>0</v>
      </c>
    </row>
    <row r="409" spans="1:2">
      <c r="A409" s="27">
        <v>0</v>
      </c>
      <c r="B409" s="27">
        <v>0</v>
      </c>
    </row>
    <row r="410" spans="1:2">
      <c r="A410" s="27">
        <v>0</v>
      </c>
      <c r="B410" s="27">
        <v>0</v>
      </c>
    </row>
    <row r="411" spans="1:2">
      <c r="A411" s="27">
        <v>0</v>
      </c>
      <c r="B411" s="27">
        <v>0</v>
      </c>
    </row>
    <row r="412" spans="1:2">
      <c r="A412" s="27">
        <v>0</v>
      </c>
      <c r="B412" s="27">
        <v>0</v>
      </c>
    </row>
    <row r="413" spans="1:2">
      <c r="A413" s="27">
        <v>0</v>
      </c>
      <c r="B413" s="27">
        <v>0</v>
      </c>
    </row>
    <row r="414" spans="1:2">
      <c r="A414" s="27">
        <v>1</v>
      </c>
      <c r="B414" s="27">
        <v>0</v>
      </c>
    </row>
    <row r="415" spans="1:2">
      <c r="A415" s="27">
        <v>0</v>
      </c>
      <c r="B415" s="27">
        <v>0</v>
      </c>
    </row>
    <row r="416" spans="1:2">
      <c r="A416" s="27">
        <v>0</v>
      </c>
      <c r="B416" s="27">
        <v>0</v>
      </c>
    </row>
    <row r="417" spans="1:2">
      <c r="A417" s="27">
        <v>0</v>
      </c>
      <c r="B417" s="27">
        <v>0</v>
      </c>
    </row>
    <row r="418" spans="1:2">
      <c r="A418" s="27">
        <v>0</v>
      </c>
      <c r="B418" s="27">
        <v>0</v>
      </c>
    </row>
    <row r="419" spans="1:2">
      <c r="A419" s="27">
        <v>0</v>
      </c>
      <c r="B419" s="27">
        <v>0</v>
      </c>
    </row>
    <row r="420" spans="1:2">
      <c r="A420" s="27">
        <v>0</v>
      </c>
      <c r="B420" s="27">
        <v>0</v>
      </c>
    </row>
    <row r="421" spans="1:2">
      <c r="A421" s="27">
        <v>0</v>
      </c>
      <c r="B421" s="27">
        <v>0</v>
      </c>
    </row>
    <row r="422" spans="1:2">
      <c r="A422" s="27">
        <v>0</v>
      </c>
      <c r="B422" s="27">
        <v>0</v>
      </c>
    </row>
    <row r="423" spans="1:2">
      <c r="A423" s="27">
        <v>0</v>
      </c>
      <c r="B423" s="27">
        <v>0</v>
      </c>
    </row>
    <row r="424" spans="1:2">
      <c r="A424" s="27">
        <v>0</v>
      </c>
      <c r="B424" s="27">
        <v>0</v>
      </c>
    </row>
    <row r="425" spans="1:2">
      <c r="A425" s="27">
        <v>0</v>
      </c>
      <c r="B425" s="27">
        <v>0</v>
      </c>
    </row>
    <row r="426" spans="1:2">
      <c r="A426" s="27">
        <v>0</v>
      </c>
      <c r="B426" s="27">
        <v>0</v>
      </c>
    </row>
    <row r="427" spans="1:2">
      <c r="A427" s="27">
        <v>0</v>
      </c>
      <c r="B427" s="27">
        <v>1</v>
      </c>
    </row>
    <row r="428" spans="1:2">
      <c r="A428" s="27">
        <v>0</v>
      </c>
      <c r="B428" s="27">
        <v>0</v>
      </c>
    </row>
    <row r="429" spans="1:2">
      <c r="A429" s="27">
        <v>0</v>
      </c>
      <c r="B429" s="27">
        <v>0</v>
      </c>
    </row>
    <row r="430" spans="1:2">
      <c r="A430" s="27">
        <v>0</v>
      </c>
      <c r="B430" s="27">
        <v>0</v>
      </c>
    </row>
    <row r="431" spans="1:2">
      <c r="A431" s="27">
        <v>0</v>
      </c>
      <c r="B431" s="27">
        <v>0</v>
      </c>
    </row>
    <row r="432" spans="1:2">
      <c r="A432" s="27">
        <v>0</v>
      </c>
      <c r="B432" s="27">
        <v>0</v>
      </c>
    </row>
    <row r="433" spans="1:2">
      <c r="A433" s="27">
        <v>0</v>
      </c>
      <c r="B433" s="27">
        <v>0</v>
      </c>
    </row>
    <row r="434" spans="1:2">
      <c r="A434" s="27">
        <v>0</v>
      </c>
      <c r="B434" s="27">
        <v>0</v>
      </c>
    </row>
    <row r="435" spans="1:2">
      <c r="A435" s="27">
        <v>0</v>
      </c>
      <c r="B435" s="27">
        <v>0</v>
      </c>
    </row>
    <row r="436" spans="1:2">
      <c r="A436" s="27">
        <v>0</v>
      </c>
      <c r="B436" s="27">
        <v>0</v>
      </c>
    </row>
    <row r="437" spans="1:2">
      <c r="A437" s="27">
        <v>0</v>
      </c>
      <c r="B437" s="27">
        <v>0</v>
      </c>
    </row>
    <row r="438" spans="1:2">
      <c r="A438" s="27">
        <v>0</v>
      </c>
      <c r="B438" s="27">
        <v>0</v>
      </c>
    </row>
    <row r="439" spans="1:2">
      <c r="A439" s="27">
        <v>0</v>
      </c>
      <c r="B439" s="27">
        <v>0</v>
      </c>
    </row>
    <row r="440" spans="1:2">
      <c r="A440" s="27">
        <v>0</v>
      </c>
      <c r="B440" s="27">
        <v>0</v>
      </c>
    </row>
    <row r="441" spans="1:2">
      <c r="A441" s="27">
        <v>0</v>
      </c>
      <c r="B441" s="27">
        <v>0</v>
      </c>
    </row>
    <row r="442" spans="1:2">
      <c r="A442" s="27">
        <v>0</v>
      </c>
      <c r="B442" s="27">
        <v>0</v>
      </c>
    </row>
    <row r="443" spans="1:2">
      <c r="A443" s="27">
        <v>1</v>
      </c>
      <c r="B443" s="27">
        <v>0</v>
      </c>
    </row>
    <row r="444" spans="1:2">
      <c r="A444" s="27">
        <v>0</v>
      </c>
      <c r="B444" s="27">
        <v>0</v>
      </c>
    </row>
    <row r="445" spans="1:2">
      <c r="A445" s="27">
        <v>0</v>
      </c>
      <c r="B445" s="27">
        <v>0</v>
      </c>
    </row>
    <row r="446" spans="1:2">
      <c r="A446" s="27">
        <v>0</v>
      </c>
      <c r="B446" s="27">
        <v>0</v>
      </c>
    </row>
    <row r="447" spans="1:2">
      <c r="A447" s="27">
        <v>0</v>
      </c>
      <c r="B447" s="27">
        <v>0</v>
      </c>
    </row>
    <row r="448" spans="1:2">
      <c r="A448" s="27">
        <v>0</v>
      </c>
      <c r="B448" s="27">
        <v>0</v>
      </c>
    </row>
    <row r="449" spans="1:2">
      <c r="A449" s="27">
        <v>0</v>
      </c>
      <c r="B449" s="27">
        <v>0</v>
      </c>
    </row>
    <row r="450" spans="1:2">
      <c r="A450" s="27">
        <v>0</v>
      </c>
      <c r="B450" s="27">
        <v>0</v>
      </c>
    </row>
    <row r="451" spans="1:2">
      <c r="A451" s="27">
        <v>0</v>
      </c>
      <c r="B451" s="27">
        <v>0</v>
      </c>
    </row>
    <row r="452" spans="1:2">
      <c r="A452" s="27">
        <v>0</v>
      </c>
      <c r="B452" s="27">
        <v>0</v>
      </c>
    </row>
    <row r="453" spans="1:2">
      <c r="A453" s="27">
        <v>0</v>
      </c>
      <c r="B453" s="27">
        <v>0</v>
      </c>
    </row>
    <row r="454" spans="1:2">
      <c r="A454" s="27">
        <v>0</v>
      </c>
      <c r="B454" s="27">
        <v>0</v>
      </c>
    </row>
    <row r="455" spans="1:2">
      <c r="A455" s="27">
        <v>0</v>
      </c>
      <c r="B455" s="27">
        <v>1</v>
      </c>
    </row>
    <row r="456" spans="1:2">
      <c r="A456" s="27">
        <v>0</v>
      </c>
      <c r="B456" s="27">
        <v>0</v>
      </c>
    </row>
    <row r="457" spans="1:2">
      <c r="A457" s="27">
        <v>0</v>
      </c>
      <c r="B457" s="27">
        <v>0</v>
      </c>
    </row>
    <row r="458" spans="1:2">
      <c r="A458" s="27">
        <v>0</v>
      </c>
      <c r="B458" s="27">
        <v>1</v>
      </c>
    </row>
    <row r="459" spans="1:2">
      <c r="A459" s="27">
        <v>0</v>
      </c>
      <c r="B459" s="27">
        <v>0</v>
      </c>
    </row>
    <row r="460" spans="1:2">
      <c r="A460" s="27">
        <v>0</v>
      </c>
      <c r="B460" s="27">
        <v>1</v>
      </c>
    </row>
    <row r="461" spans="1:2">
      <c r="A461" s="27">
        <v>0</v>
      </c>
      <c r="B461" s="27">
        <v>0</v>
      </c>
    </row>
    <row r="462" spans="1:2">
      <c r="A462" s="27">
        <v>0</v>
      </c>
      <c r="B462" s="27">
        <v>0</v>
      </c>
    </row>
    <row r="463" spans="1:2">
      <c r="A463" s="27">
        <v>0</v>
      </c>
      <c r="B463" s="27">
        <v>0</v>
      </c>
    </row>
    <row r="464" spans="1:2">
      <c r="A464" s="27">
        <v>0</v>
      </c>
      <c r="B464" s="27">
        <v>0</v>
      </c>
    </row>
    <row r="465" spans="1:2">
      <c r="A465" s="27">
        <v>0</v>
      </c>
      <c r="B465" s="27">
        <v>0</v>
      </c>
    </row>
    <row r="466" spans="1:2">
      <c r="A466" s="27">
        <v>0</v>
      </c>
      <c r="B466" s="27">
        <v>0</v>
      </c>
    </row>
    <row r="467" spans="1:2">
      <c r="A467" s="27">
        <v>0</v>
      </c>
      <c r="B467" s="27">
        <v>0</v>
      </c>
    </row>
    <row r="468" spans="1:2">
      <c r="A468" s="27">
        <v>0</v>
      </c>
      <c r="B468" s="27">
        <v>0</v>
      </c>
    </row>
    <row r="469" spans="1:2">
      <c r="A469" s="27">
        <v>0</v>
      </c>
      <c r="B469" s="27">
        <v>0</v>
      </c>
    </row>
    <row r="470" spans="1:2">
      <c r="A470" s="27">
        <v>0</v>
      </c>
      <c r="B470" s="27">
        <v>0</v>
      </c>
    </row>
    <row r="471" spans="1:2">
      <c r="A471" s="27">
        <v>0</v>
      </c>
      <c r="B471" s="27">
        <v>0</v>
      </c>
    </row>
    <row r="472" spans="1:2">
      <c r="A472" s="27">
        <v>0</v>
      </c>
      <c r="B472" s="27">
        <v>0</v>
      </c>
    </row>
    <row r="473" spans="1:2">
      <c r="A473" s="27">
        <v>0</v>
      </c>
      <c r="B473" s="27">
        <v>0</v>
      </c>
    </row>
    <row r="474" spans="1:2">
      <c r="A474" s="27">
        <v>0</v>
      </c>
      <c r="B474" s="27">
        <v>0</v>
      </c>
    </row>
    <row r="475" spans="1:2">
      <c r="A475" s="27">
        <v>0</v>
      </c>
      <c r="B475" s="27">
        <v>0</v>
      </c>
    </row>
    <row r="476" spans="1:2">
      <c r="A476" s="27">
        <v>0</v>
      </c>
      <c r="B476" s="27">
        <v>0</v>
      </c>
    </row>
    <row r="477" spans="1:2">
      <c r="A477" s="27">
        <v>0</v>
      </c>
      <c r="B477" s="27">
        <v>0</v>
      </c>
    </row>
    <row r="478" spans="1:2">
      <c r="A478" s="27">
        <v>0</v>
      </c>
      <c r="B478" s="27">
        <v>0</v>
      </c>
    </row>
    <row r="479" spans="1:2">
      <c r="A479" s="27">
        <v>0</v>
      </c>
      <c r="B479" s="27">
        <v>0</v>
      </c>
    </row>
    <row r="480" spans="1:2">
      <c r="A480" s="27">
        <v>0</v>
      </c>
      <c r="B480" s="27">
        <v>0</v>
      </c>
    </row>
    <row r="481" spans="1:2">
      <c r="A481" s="27">
        <v>0</v>
      </c>
      <c r="B481" s="27">
        <v>1</v>
      </c>
    </row>
    <row r="482" spans="1:2">
      <c r="A482" s="27">
        <v>0</v>
      </c>
      <c r="B482" s="27">
        <v>0</v>
      </c>
    </row>
    <row r="483" spans="1:2">
      <c r="A483" s="27">
        <v>0</v>
      </c>
      <c r="B483" s="27">
        <v>0</v>
      </c>
    </row>
    <row r="484" spans="1:2">
      <c r="A484" s="27">
        <v>0</v>
      </c>
      <c r="B484" s="27">
        <v>0</v>
      </c>
    </row>
    <row r="485" spans="1:2">
      <c r="A485" s="27">
        <v>0</v>
      </c>
      <c r="B485" s="27">
        <v>0</v>
      </c>
    </row>
    <row r="486" spans="1:2">
      <c r="A486" s="27">
        <v>0</v>
      </c>
      <c r="B486" s="27">
        <v>0</v>
      </c>
    </row>
    <row r="487" spans="1:2">
      <c r="A487" s="27">
        <v>0</v>
      </c>
      <c r="B487" s="27">
        <v>0</v>
      </c>
    </row>
    <row r="488" spans="1:2">
      <c r="A488" s="27">
        <v>0</v>
      </c>
      <c r="B488" s="27">
        <v>0</v>
      </c>
    </row>
    <row r="489" spans="1:2">
      <c r="A489" s="27">
        <v>0</v>
      </c>
      <c r="B489" s="27">
        <v>0</v>
      </c>
    </row>
    <row r="490" spans="1:2">
      <c r="A490" s="27">
        <v>0</v>
      </c>
      <c r="B490" s="27">
        <v>0</v>
      </c>
    </row>
    <row r="491" spans="1:2">
      <c r="A491" s="27">
        <v>0</v>
      </c>
      <c r="B491" s="27">
        <v>0</v>
      </c>
    </row>
    <row r="492" spans="1:2">
      <c r="A492" s="27">
        <v>0</v>
      </c>
      <c r="B492" s="27">
        <v>1</v>
      </c>
    </row>
    <row r="493" spans="1:2">
      <c r="A493" s="27">
        <v>0</v>
      </c>
      <c r="B493" s="27">
        <v>0</v>
      </c>
    </row>
    <row r="494" spans="1:2">
      <c r="A494" s="27">
        <v>0</v>
      </c>
      <c r="B494" s="27">
        <v>0</v>
      </c>
    </row>
    <row r="495" spans="1:2">
      <c r="A495" s="27">
        <v>0</v>
      </c>
      <c r="B495" s="27">
        <v>0</v>
      </c>
    </row>
    <row r="496" spans="1:2">
      <c r="A496" s="27">
        <v>0</v>
      </c>
      <c r="B496" s="27">
        <v>0</v>
      </c>
    </row>
    <row r="497" spans="1:2">
      <c r="A497" s="27">
        <v>0</v>
      </c>
      <c r="B497" s="27">
        <v>0</v>
      </c>
    </row>
    <row r="498" spans="1:2">
      <c r="A498" s="27">
        <v>0</v>
      </c>
      <c r="B498" s="27">
        <v>0</v>
      </c>
    </row>
    <row r="499" spans="1:2">
      <c r="A499" s="27">
        <v>0</v>
      </c>
      <c r="B499" s="27">
        <v>0</v>
      </c>
    </row>
    <row r="500" spans="1:2">
      <c r="A500" s="27">
        <v>0</v>
      </c>
      <c r="B500" s="27">
        <v>0</v>
      </c>
    </row>
    <row r="501" spans="1:2">
      <c r="A501" s="27">
        <v>0</v>
      </c>
      <c r="B501" s="27">
        <v>0</v>
      </c>
    </row>
    <row r="502" spans="1:2">
      <c r="A502" s="27">
        <v>0</v>
      </c>
      <c r="B502" s="27">
        <v>0</v>
      </c>
    </row>
    <row r="503" spans="1:2">
      <c r="A503" s="27">
        <v>0</v>
      </c>
      <c r="B503" s="27">
        <v>0</v>
      </c>
    </row>
    <row r="504" spans="1:2">
      <c r="A504" s="27">
        <v>1</v>
      </c>
      <c r="B504" s="27">
        <v>0</v>
      </c>
    </row>
    <row r="505" spans="1:2">
      <c r="A505" s="27">
        <v>0</v>
      </c>
      <c r="B505" s="27">
        <v>0</v>
      </c>
    </row>
    <row r="506" spans="1:2">
      <c r="A506" s="27">
        <v>0</v>
      </c>
      <c r="B506" s="27">
        <v>0</v>
      </c>
    </row>
    <row r="507" spans="1:2">
      <c r="A507" s="27">
        <v>0</v>
      </c>
      <c r="B507" s="27">
        <v>0</v>
      </c>
    </row>
    <row r="508" spans="1:2">
      <c r="A508" s="27">
        <v>0</v>
      </c>
      <c r="B508" s="27">
        <v>0</v>
      </c>
    </row>
    <row r="509" spans="1:2">
      <c r="A509" s="27">
        <v>0</v>
      </c>
      <c r="B509" s="27">
        <v>0</v>
      </c>
    </row>
    <row r="510" spans="1:2">
      <c r="A510" s="27">
        <v>0</v>
      </c>
      <c r="B510" s="27">
        <v>0</v>
      </c>
    </row>
    <row r="511" spans="1:2">
      <c r="A511" s="27">
        <v>0</v>
      </c>
      <c r="B511" s="27">
        <v>0</v>
      </c>
    </row>
    <row r="512" spans="1:2">
      <c r="A512" s="27">
        <v>0</v>
      </c>
      <c r="B512" s="27">
        <v>0</v>
      </c>
    </row>
    <row r="513" spans="1:2">
      <c r="A513" s="27">
        <v>0</v>
      </c>
      <c r="B513" s="27">
        <v>0</v>
      </c>
    </row>
    <row r="514" spans="1:2">
      <c r="A514" s="27">
        <v>0</v>
      </c>
      <c r="B514" s="27">
        <v>0</v>
      </c>
    </row>
    <row r="515" spans="1:2">
      <c r="A515" s="27">
        <v>0</v>
      </c>
      <c r="B515" s="27">
        <v>0</v>
      </c>
    </row>
    <row r="516" spans="1:2">
      <c r="A516" s="27">
        <v>0</v>
      </c>
      <c r="B516" s="27">
        <v>0</v>
      </c>
    </row>
    <row r="517" spans="1:2">
      <c r="A517" s="27">
        <v>0</v>
      </c>
      <c r="B517" s="27">
        <v>0</v>
      </c>
    </row>
    <row r="518" spans="1:2">
      <c r="A518" s="27">
        <v>0</v>
      </c>
      <c r="B518" s="27">
        <v>0</v>
      </c>
    </row>
    <row r="519" spans="1:2">
      <c r="A519" s="27">
        <v>0</v>
      </c>
      <c r="B519" s="27">
        <v>0</v>
      </c>
    </row>
    <row r="520" spans="1:2">
      <c r="A520" s="27">
        <v>0</v>
      </c>
      <c r="B520" s="27">
        <v>0</v>
      </c>
    </row>
    <row r="521" spans="1:2">
      <c r="A521" s="27">
        <v>0</v>
      </c>
      <c r="B521" s="27">
        <v>0</v>
      </c>
    </row>
    <row r="522" spans="1:2">
      <c r="A522" s="27">
        <v>0</v>
      </c>
      <c r="B522" s="27">
        <v>0</v>
      </c>
    </row>
    <row r="523" spans="1:2">
      <c r="A523" s="27">
        <v>0</v>
      </c>
      <c r="B523" s="27">
        <v>0</v>
      </c>
    </row>
    <row r="524" spans="1:2">
      <c r="A524" s="27">
        <v>0</v>
      </c>
      <c r="B524" s="27">
        <v>0</v>
      </c>
    </row>
    <row r="525" spans="1:2">
      <c r="A525" s="27">
        <v>0</v>
      </c>
      <c r="B525" s="27">
        <v>0</v>
      </c>
    </row>
    <row r="526" spans="1:2">
      <c r="A526" s="27">
        <v>0</v>
      </c>
      <c r="B526" s="27">
        <v>0</v>
      </c>
    </row>
    <row r="527" spans="1:2">
      <c r="A527" s="27">
        <v>0</v>
      </c>
      <c r="B527" s="27">
        <v>0</v>
      </c>
    </row>
    <row r="528" spans="1:2">
      <c r="A528" s="27">
        <v>0</v>
      </c>
      <c r="B528" s="27">
        <v>0</v>
      </c>
    </row>
    <row r="529" spans="1:2">
      <c r="A529" s="27">
        <v>0</v>
      </c>
      <c r="B529" s="27">
        <v>0</v>
      </c>
    </row>
    <row r="530" spans="1:2">
      <c r="A530" s="27">
        <v>0</v>
      </c>
      <c r="B530" s="27">
        <v>0</v>
      </c>
    </row>
    <row r="531" spans="1:2">
      <c r="A531" s="27">
        <v>0</v>
      </c>
      <c r="B531" s="27">
        <v>0</v>
      </c>
    </row>
    <row r="532" spans="1:2">
      <c r="A532" s="27">
        <v>0</v>
      </c>
      <c r="B532" s="27">
        <v>0</v>
      </c>
    </row>
    <row r="533" spans="1:2">
      <c r="A533" s="27">
        <v>0</v>
      </c>
      <c r="B533" s="27">
        <v>0</v>
      </c>
    </row>
    <row r="534" spans="1:2">
      <c r="A534" s="27">
        <v>0</v>
      </c>
      <c r="B534" s="27">
        <v>1</v>
      </c>
    </row>
    <row r="535" spans="1:2">
      <c r="A535" s="27">
        <v>0</v>
      </c>
      <c r="B535" s="27">
        <v>1</v>
      </c>
    </row>
    <row r="536" spans="1:2">
      <c r="A536" s="27">
        <v>0</v>
      </c>
      <c r="B536" s="27">
        <v>0</v>
      </c>
    </row>
    <row r="537" spans="1:2">
      <c r="A537" s="27">
        <v>0</v>
      </c>
      <c r="B537" s="27">
        <v>0</v>
      </c>
    </row>
    <row r="538" spans="1:2">
      <c r="A538" s="27">
        <v>0</v>
      </c>
      <c r="B538" s="27">
        <v>0</v>
      </c>
    </row>
    <row r="539" spans="1:2">
      <c r="A539" s="27">
        <v>0</v>
      </c>
      <c r="B539" s="27">
        <v>1</v>
      </c>
    </row>
    <row r="540" spans="1:2">
      <c r="A540" s="27">
        <v>0</v>
      </c>
      <c r="B540" s="27">
        <v>0</v>
      </c>
    </row>
    <row r="541" spans="1:2">
      <c r="A541" s="27">
        <v>0</v>
      </c>
      <c r="B541" s="27">
        <v>0</v>
      </c>
    </row>
    <row r="542" spans="1:2">
      <c r="A542" s="27">
        <v>0</v>
      </c>
      <c r="B542" s="27">
        <v>0</v>
      </c>
    </row>
    <row r="543" spans="1:2">
      <c r="A543" s="27">
        <v>0</v>
      </c>
      <c r="B543" s="27">
        <v>0</v>
      </c>
    </row>
    <row r="544" spans="1:2">
      <c r="A544" s="27">
        <v>0</v>
      </c>
      <c r="B544" s="27">
        <v>0</v>
      </c>
    </row>
    <row r="545" spans="1:2">
      <c r="A545" s="27">
        <v>0</v>
      </c>
      <c r="B545" s="27">
        <v>0</v>
      </c>
    </row>
    <row r="546" spans="1:2">
      <c r="A546" s="27">
        <v>0</v>
      </c>
      <c r="B546" s="27">
        <v>0</v>
      </c>
    </row>
    <row r="547" spans="1:2">
      <c r="A547" s="27">
        <v>0</v>
      </c>
      <c r="B547" s="27">
        <v>0</v>
      </c>
    </row>
    <row r="548" spans="1:2">
      <c r="A548" s="27">
        <v>0</v>
      </c>
      <c r="B548" s="27">
        <v>0</v>
      </c>
    </row>
    <row r="549" spans="1:2">
      <c r="A549" s="27">
        <v>0</v>
      </c>
      <c r="B549" s="27">
        <v>0</v>
      </c>
    </row>
    <row r="550" spans="1:2">
      <c r="A550" s="27">
        <v>0</v>
      </c>
      <c r="B550" s="27">
        <v>1</v>
      </c>
    </row>
    <row r="551" spans="1:2">
      <c r="A551" s="27">
        <v>0</v>
      </c>
      <c r="B551" s="27">
        <v>0</v>
      </c>
    </row>
    <row r="552" spans="1:2">
      <c r="A552" s="27">
        <v>0</v>
      </c>
      <c r="B552" s="27">
        <v>0</v>
      </c>
    </row>
    <row r="553" spans="1:2">
      <c r="A553" s="27">
        <v>0</v>
      </c>
      <c r="B553" s="27">
        <v>0</v>
      </c>
    </row>
    <row r="554" spans="1:2">
      <c r="A554" s="27">
        <v>0</v>
      </c>
      <c r="B554" s="27">
        <v>0</v>
      </c>
    </row>
    <row r="555" spans="1:2">
      <c r="A555" s="27">
        <v>0</v>
      </c>
      <c r="B555" s="27">
        <v>0</v>
      </c>
    </row>
    <row r="556" spans="1:2">
      <c r="A556" s="27">
        <v>0</v>
      </c>
      <c r="B556" s="27">
        <v>0</v>
      </c>
    </row>
    <row r="557" spans="1:2">
      <c r="A557" s="27">
        <v>0</v>
      </c>
      <c r="B557" s="27">
        <v>0</v>
      </c>
    </row>
    <row r="558" spans="1:2">
      <c r="A558" s="27">
        <v>0</v>
      </c>
      <c r="B558" s="27">
        <v>0</v>
      </c>
    </row>
    <row r="559" spans="1:2">
      <c r="A559" s="27">
        <v>0</v>
      </c>
      <c r="B559" s="27">
        <v>0</v>
      </c>
    </row>
    <row r="560" spans="1:2">
      <c r="A560" s="27">
        <v>0</v>
      </c>
      <c r="B560" s="27">
        <v>0</v>
      </c>
    </row>
    <row r="561" spans="1:2">
      <c r="A561" s="27">
        <v>0</v>
      </c>
      <c r="B561" s="27">
        <v>0</v>
      </c>
    </row>
    <row r="562" spans="1:2">
      <c r="A562" s="27">
        <v>0</v>
      </c>
      <c r="B562" s="27">
        <v>0</v>
      </c>
    </row>
    <row r="563" spans="1:2">
      <c r="A563" s="27">
        <v>0</v>
      </c>
      <c r="B563" s="27">
        <v>0</v>
      </c>
    </row>
    <row r="564" spans="1:2">
      <c r="A564" s="27">
        <v>0</v>
      </c>
      <c r="B564" s="27">
        <v>1</v>
      </c>
    </row>
    <row r="565" spans="1:2">
      <c r="A565" s="27">
        <v>0</v>
      </c>
      <c r="B565" s="27">
        <v>0</v>
      </c>
    </row>
    <row r="566" spans="1:2">
      <c r="A566" s="27">
        <v>0</v>
      </c>
      <c r="B566" s="27">
        <v>0</v>
      </c>
    </row>
    <row r="567" spans="1:2">
      <c r="A567" s="27">
        <v>0</v>
      </c>
      <c r="B567" s="27">
        <v>0</v>
      </c>
    </row>
    <row r="568" spans="1:2">
      <c r="A568" s="27">
        <v>0</v>
      </c>
      <c r="B568" s="27">
        <v>0</v>
      </c>
    </row>
    <row r="569" spans="1:2">
      <c r="A569" s="27">
        <v>0</v>
      </c>
      <c r="B569" s="27">
        <v>1</v>
      </c>
    </row>
    <row r="570" spans="1:2">
      <c r="A570" s="27">
        <v>0</v>
      </c>
      <c r="B570" s="27">
        <v>0</v>
      </c>
    </row>
    <row r="571" spans="1:2">
      <c r="A571" s="27">
        <v>0</v>
      </c>
      <c r="B571" s="27">
        <v>0</v>
      </c>
    </row>
    <row r="572" spans="1:2">
      <c r="A572" s="27">
        <v>0</v>
      </c>
      <c r="B572" s="27">
        <v>0</v>
      </c>
    </row>
    <row r="573" spans="1:2">
      <c r="A573" s="27">
        <v>0</v>
      </c>
      <c r="B573" s="27">
        <v>0</v>
      </c>
    </row>
    <row r="574" spans="1:2">
      <c r="A574" s="27">
        <v>0</v>
      </c>
      <c r="B574" s="27">
        <v>0</v>
      </c>
    </row>
    <row r="575" spans="1:2">
      <c r="A575" s="27">
        <v>0</v>
      </c>
      <c r="B575" s="27">
        <v>0</v>
      </c>
    </row>
    <row r="576" spans="1:2">
      <c r="A576" s="27">
        <v>0</v>
      </c>
      <c r="B576" s="27">
        <v>0</v>
      </c>
    </row>
    <row r="577" spans="1:2">
      <c r="A577" s="27">
        <v>0</v>
      </c>
      <c r="B577" s="27">
        <v>0</v>
      </c>
    </row>
    <row r="578" spans="1:2">
      <c r="A578" s="27">
        <v>0</v>
      </c>
      <c r="B578" s="27">
        <v>0</v>
      </c>
    </row>
    <row r="579" spans="1:2">
      <c r="A579" s="27">
        <v>0</v>
      </c>
      <c r="B579" s="27">
        <v>0</v>
      </c>
    </row>
    <row r="580" spans="1:2">
      <c r="A580" s="27">
        <v>0</v>
      </c>
      <c r="B580" s="27">
        <v>0</v>
      </c>
    </row>
    <row r="581" spans="1:2">
      <c r="A581" s="27">
        <v>0</v>
      </c>
      <c r="B581" s="27">
        <v>0</v>
      </c>
    </row>
    <row r="582" spans="1:2">
      <c r="A582" s="27">
        <v>0</v>
      </c>
      <c r="B582" s="27">
        <v>0</v>
      </c>
    </row>
    <row r="583" spans="1:2">
      <c r="A583" s="27">
        <v>0</v>
      </c>
      <c r="B583" s="27">
        <v>0</v>
      </c>
    </row>
    <row r="584" spans="1:2">
      <c r="A584" s="27">
        <v>0</v>
      </c>
      <c r="B584" s="27">
        <v>0</v>
      </c>
    </row>
    <row r="585" spans="1:2">
      <c r="A585" s="27">
        <v>0</v>
      </c>
      <c r="B585" s="27">
        <v>0</v>
      </c>
    </row>
    <row r="586" spans="1:2">
      <c r="A586" s="27">
        <v>0</v>
      </c>
      <c r="B586" s="27">
        <v>0</v>
      </c>
    </row>
    <row r="587" spans="1:2">
      <c r="A587" s="27">
        <v>0</v>
      </c>
      <c r="B587" s="27">
        <v>0</v>
      </c>
    </row>
    <row r="588" spans="1:2">
      <c r="A588" s="27">
        <v>0</v>
      </c>
      <c r="B588" s="27">
        <v>0</v>
      </c>
    </row>
    <row r="589" spans="1:2">
      <c r="A589" s="27">
        <v>0</v>
      </c>
      <c r="B589" s="27">
        <v>0</v>
      </c>
    </row>
    <row r="590" spans="1:2">
      <c r="A590" s="27">
        <v>0</v>
      </c>
      <c r="B590" s="27">
        <v>0</v>
      </c>
    </row>
    <row r="591" spans="1:2">
      <c r="A591" s="27">
        <v>0</v>
      </c>
      <c r="B591" s="27">
        <v>0</v>
      </c>
    </row>
    <row r="592" spans="1:2">
      <c r="A592" s="27">
        <v>0</v>
      </c>
      <c r="B592" s="27">
        <v>0</v>
      </c>
    </row>
    <row r="593" spans="1:2">
      <c r="A593" s="27">
        <v>0</v>
      </c>
      <c r="B593" s="27">
        <v>0</v>
      </c>
    </row>
    <row r="594" spans="1:2">
      <c r="A594" s="27">
        <v>0</v>
      </c>
      <c r="B594" s="27">
        <v>0</v>
      </c>
    </row>
    <row r="595" spans="1:2">
      <c r="A595" s="27">
        <v>0</v>
      </c>
      <c r="B595" s="27">
        <v>0</v>
      </c>
    </row>
    <row r="596" spans="1:2">
      <c r="A596" s="27">
        <v>0</v>
      </c>
      <c r="B596" s="27">
        <v>0</v>
      </c>
    </row>
    <row r="597" spans="1:2">
      <c r="A597" s="27">
        <v>1</v>
      </c>
      <c r="B597" s="27">
        <v>0</v>
      </c>
    </row>
    <row r="598" spans="1:2">
      <c r="A598" s="27">
        <v>0</v>
      </c>
      <c r="B598" s="27">
        <v>0</v>
      </c>
    </row>
    <row r="599" spans="1:2">
      <c r="A599" s="27">
        <v>0</v>
      </c>
      <c r="B599" s="27">
        <v>0</v>
      </c>
    </row>
    <row r="600" spans="1:2">
      <c r="A600" s="27">
        <v>0</v>
      </c>
      <c r="B600" s="27">
        <v>0</v>
      </c>
    </row>
    <row r="601" spans="1:2">
      <c r="A601" s="27">
        <v>0</v>
      </c>
      <c r="B601" s="27">
        <v>0</v>
      </c>
    </row>
    <row r="602" spans="1:2">
      <c r="A602" s="27">
        <v>0</v>
      </c>
      <c r="B602" s="27">
        <v>0</v>
      </c>
    </row>
    <row r="603" spans="1:2">
      <c r="A603" s="27">
        <v>0</v>
      </c>
      <c r="B603" s="27">
        <v>0</v>
      </c>
    </row>
    <row r="604" spans="1:2">
      <c r="A604" s="27">
        <v>0</v>
      </c>
      <c r="B604" s="27">
        <v>0</v>
      </c>
    </row>
    <row r="605" spans="1:2">
      <c r="A605" s="27">
        <v>0</v>
      </c>
      <c r="B605" s="27">
        <v>0</v>
      </c>
    </row>
    <row r="606" spans="1:2">
      <c r="A606" s="27">
        <v>0</v>
      </c>
      <c r="B606" s="27">
        <v>0</v>
      </c>
    </row>
    <row r="607" spans="1:2">
      <c r="A607" s="27">
        <v>0</v>
      </c>
      <c r="B607" s="27">
        <v>0</v>
      </c>
    </row>
    <row r="608" spans="1:2">
      <c r="A608" s="27">
        <v>0</v>
      </c>
      <c r="B608" s="27">
        <v>0</v>
      </c>
    </row>
    <row r="609" spans="1:2">
      <c r="A609" s="27">
        <v>0</v>
      </c>
      <c r="B609" s="27">
        <v>0</v>
      </c>
    </row>
    <row r="610" spans="1:2">
      <c r="A610" s="27">
        <v>0</v>
      </c>
      <c r="B610" s="27">
        <v>1</v>
      </c>
    </row>
    <row r="611" spans="1:2">
      <c r="A611" s="27">
        <v>0</v>
      </c>
      <c r="B611" s="27">
        <v>0</v>
      </c>
    </row>
    <row r="612" spans="1:2">
      <c r="A612" s="27">
        <v>0</v>
      </c>
      <c r="B612" s="27">
        <v>0</v>
      </c>
    </row>
    <row r="613" spans="1:2">
      <c r="A613" s="27">
        <v>0</v>
      </c>
      <c r="B613" s="27">
        <v>0</v>
      </c>
    </row>
    <row r="614" spans="1:2">
      <c r="A614" s="27">
        <v>0</v>
      </c>
      <c r="B614" s="27">
        <v>0</v>
      </c>
    </row>
    <row r="615" spans="1:2">
      <c r="A615" s="27">
        <v>0</v>
      </c>
      <c r="B615" s="27">
        <v>0</v>
      </c>
    </row>
    <row r="616" spans="1:2">
      <c r="A616" s="27">
        <v>0</v>
      </c>
      <c r="B616" s="27">
        <v>0</v>
      </c>
    </row>
    <row r="617" spans="1:2">
      <c r="A617" s="27">
        <v>0</v>
      </c>
      <c r="B617" s="27">
        <v>0</v>
      </c>
    </row>
    <row r="618" spans="1:2">
      <c r="A618" s="27">
        <v>0</v>
      </c>
      <c r="B618" s="27">
        <v>0</v>
      </c>
    </row>
    <row r="619" spans="1:2">
      <c r="A619" s="27">
        <v>0</v>
      </c>
      <c r="B619" s="27">
        <v>0</v>
      </c>
    </row>
    <row r="620" spans="1:2">
      <c r="A620" s="27">
        <v>0</v>
      </c>
      <c r="B620" s="27">
        <v>0</v>
      </c>
    </row>
    <row r="621" spans="1:2">
      <c r="A621" s="27">
        <v>0</v>
      </c>
      <c r="B621" s="27">
        <v>0</v>
      </c>
    </row>
    <row r="622" spans="1:2">
      <c r="A622" s="27">
        <v>0</v>
      </c>
      <c r="B622" s="27">
        <v>0</v>
      </c>
    </row>
    <row r="623" spans="1:2">
      <c r="A623" s="27">
        <v>0</v>
      </c>
      <c r="B623" s="27">
        <v>0</v>
      </c>
    </row>
    <row r="624" spans="1:2">
      <c r="A624" s="27">
        <v>0</v>
      </c>
      <c r="B624" s="27">
        <v>1</v>
      </c>
    </row>
    <row r="625" spans="1:2">
      <c r="A625" s="27">
        <v>0</v>
      </c>
      <c r="B625" s="27">
        <v>0</v>
      </c>
    </row>
    <row r="626" spans="1:2">
      <c r="A626" s="27">
        <v>0</v>
      </c>
      <c r="B626" s="27">
        <v>0</v>
      </c>
    </row>
    <row r="627" spans="1:2">
      <c r="A627" s="27">
        <v>0</v>
      </c>
      <c r="B627" s="27">
        <v>0</v>
      </c>
    </row>
    <row r="628" spans="1:2">
      <c r="A628" s="27">
        <v>0</v>
      </c>
      <c r="B628" s="27">
        <v>0</v>
      </c>
    </row>
    <row r="629" spans="1:2">
      <c r="A629" s="27">
        <v>0</v>
      </c>
      <c r="B629" s="27">
        <v>0</v>
      </c>
    </row>
    <row r="630" spans="1:2">
      <c r="A630" s="27">
        <v>0</v>
      </c>
      <c r="B630" s="27">
        <v>0</v>
      </c>
    </row>
    <row r="631" spans="1:2">
      <c r="A631" s="27">
        <v>0</v>
      </c>
      <c r="B631" s="27">
        <v>0</v>
      </c>
    </row>
    <row r="632" spans="1:2">
      <c r="A632" s="27">
        <v>0</v>
      </c>
      <c r="B632" s="27">
        <v>1</v>
      </c>
    </row>
    <row r="633" spans="1:2">
      <c r="A633" s="27">
        <v>0</v>
      </c>
      <c r="B633" s="27">
        <v>0</v>
      </c>
    </row>
    <row r="634" spans="1:2">
      <c r="A634" s="27">
        <v>0</v>
      </c>
      <c r="B634" s="27">
        <v>0</v>
      </c>
    </row>
    <row r="635" spans="1:2">
      <c r="A635" s="27">
        <v>0</v>
      </c>
      <c r="B635" s="27">
        <v>1</v>
      </c>
    </row>
    <row r="636" spans="1:2">
      <c r="A636" s="27">
        <v>0</v>
      </c>
      <c r="B636" s="27">
        <v>0</v>
      </c>
    </row>
    <row r="637" spans="1:2">
      <c r="A637" s="27">
        <v>0</v>
      </c>
      <c r="B637" s="27">
        <v>0</v>
      </c>
    </row>
    <row r="638" spans="1:2">
      <c r="A638" s="27">
        <v>0</v>
      </c>
      <c r="B638" s="27">
        <v>0</v>
      </c>
    </row>
    <row r="639" spans="1:2">
      <c r="A639" s="27">
        <v>0</v>
      </c>
      <c r="B639" s="27">
        <v>0</v>
      </c>
    </row>
    <row r="640" spans="1:2">
      <c r="A640" s="27">
        <v>0</v>
      </c>
      <c r="B640" s="27">
        <v>0</v>
      </c>
    </row>
    <row r="641" spans="1:2">
      <c r="A641" s="27">
        <v>0</v>
      </c>
      <c r="B641" s="27">
        <v>0</v>
      </c>
    </row>
    <row r="642" spans="1:2">
      <c r="A642" s="27">
        <v>0</v>
      </c>
      <c r="B642" s="27">
        <v>0</v>
      </c>
    </row>
    <row r="643" spans="1:2">
      <c r="A643" s="27">
        <v>0</v>
      </c>
      <c r="B643" s="27">
        <v>0</v>
      </c>
    </row>
    <row r="644" spans="1:2">
      <c r="A644" s="27">
        <v>0</v>
      </c>
      <c r="B644" s="27">
        <v>0</v>
      </c>
    </row>
    <row r="645" spans="1:2">
      <c r="A645" s="27">
        <v>0</v>
      </c>
      <c r="B645" s="27">
        <v>0</v>
      </c>
    </row>
    <row r="646" spans="1:2">
      <c r="A646" s="27">
        <v>0</v>
      </c>
      <c r="B646" s="27">
        <v>0</v>
      </c>
    </row>
    <row r="647" spans="1:2">
      <c r="A647" s="27">
        <v>0</v>
      </c>
      <c r="B647" s="27">
        <v>0</v>
      </c>
    </row>
    <row r="648" spans="1:2">
      <c r="A648" s="27">
        <v>0</v>
      </c>
      <c r="B648" s="27">
        <v>0</v>
      </c>
    </row>
    <row r="649" spans="1:2">
      <c r="A649" s="27">
        <v>0</v>
      </c>
      <c r="B649" s="27">
        <v>0</v>
      </c>
    </row>
    <row r="650" spans="1:2">
      <c r="A650" s="27">
        <v>0</v>
      </c>
      <c r="B650" s="27">
        <v>0</v>
      </c>
    </row>
    <row r="651" spans="1:2">
      <c r="A651" s="27">
        <v>0</v>
      </c>
      <c r="B651" s="27">
        <v>0</v>
      </c>
    </row>
    <row r="652" spans="1:2">
      <c r="A652" s="27">
        <v>0</v>
      </c>
      <c r="B652" s="27">
        <v>0</v>
      </c>
    </row>
    <row r="653" spans="1:2">
      <c r="A653" s="27">
        <v>0</v>
      </c>
      <c r="B653" s="27">
        <v>0</v>
      </c>
    </row>
    <row r="654" spans="1:2">
      <c r="A654" s="27">
        <v>0</v>
      </c>
      <c r="B654" s="27">
        <v>0</v>
      </c>
    </row>
    <row r="655" spans="1:2">
      <c r="A655" s="27">
        <v>0</v>
      </c>
      <c r="B655" s="27">
        <v>0</v>
      </c>
    </row>
    <row r="656" spans="1:2">
      <c r="A656" s="27">
        <v>0</v>
      </c>
      <c r="B656" s="27">
        <v>0</v>
      </c>
    </row>
    <row r="657" spans="1:2">
      <c r="A657" s="27">
        <v>0</v>
      </c>
      <c r="B657" s="27">
        <v>0</v>
      </c>
    </row>
    <row r="658" spans="1:2">
      <c r="A658" s="27">
        <v>0</v>
      </c>
      <c r="B658" s="27">
        <v>0</v>
      </c>
    </row>
    <row r="659" spans="1:2">
      <c r="A659" s="27">
        <v>0</v>
      </c>
      <c r="B659" s="27">
        <v>0</v>
      </c>
    </row>
    <row r="660" spans="1:2">
      <c r="A660" s="27">
        <v>0</v>
      </c>
      <c r="B660" s="27">
        <v>0</v>
      </c>
    </row>
    <row r="661" spans="1:2">
      <c r="A661" s="27">
        <v>0</v>
      </c>
      <c r="B661" s="27">
        <v>0</v>
      </c>
    </row>
    <row r="662" spans="1:2">
      <c r="A662" s="27">
        <v>0</v>
      </c>
      <c r="B662" s="27">
        <v>0</v>
      </c>
    </row>
    <row r="663" spans="1:2">
      <c r="A663" s="27">
        <v>1</v>
      </c>
      <c r="B663" s="27">
        <v>1</v>
      </c>
    </row>
    <row r="664" spans="1:2">
      <c r="A664" s="27">
        <v>0</v>
      </c>
      <c r="B664" s="27">
        <v>0</v>
      </c>
    </row>
    <row r="665" spans="1:2">
      <c r="A665" s="27">
        <v>0</v>
      </c>
      <c r="B665" s="27">
        <v>0</v>
      </c>
    </row>
    <row r="666" spans="1:2">
      <c r="A666" s="27">
        <v>0</v>
      </c>
      <c r="B666" s="27">
        <v>0</v>
      </c>
    </row>
    <row r="667" spans="1:2">
      <c r="A667" s="27">
        <v>0</v>
      </c>
      <c r="B667" s="27">
        <v>0</v>
      </c>
    </row>
    <row r="668" spans="1:2">
      <c r="A668" s="27">
        <v>0</v>
      </c>
      <c r="B668" s="27">
        <v>0</v>
      </c>
    </row>
    <row r="669" spans="1:2">
      <c r="A669" s="27">
        <v>0</v>
      </c>
      <c r="B669" s="27">
        <v>0</v>
      </c>
    </row>
    <row r="670" spans="1:2">
      <c r="A670" s="27">
        <v>0</v>
      </c>
      <c r="B670" s="27">
        <v>0</v>
      </c>
    </row>
    <row r="671" spans="1:2">
      <c r="A671" s="27">
        <v>0</v>
      </c>
      <c r="B671" s="27">
        <v>0</v>
      </c>
    </row>
    <row r="672" spans="1:2">
      <c r="A672" s="27">
        <v>0</v>
      </c>
      <c r="B672" s="27">
        <v>0</v>
      </c>
    </row>
    <row r="673" spans="1:2">
      <c r="A673" s="27">
        <v>0</v>
      </c>
      <c r="B673" s="27">
        <v>0</v>
      </c>
    </row>
    <row r="674" spans="1:2">
      <c r="A674" s="27">
        <v>0</v>
      </c>
      <c r="B674" s="27">
        <v>0</v>
      </c>
    </row>
    <row r="675" spans="1:2">
      <c r="A675" s="27">
        <v>0</v>
      </c>
      <c r="B675" s="27">
        <v>0</v>
      </c>
    </row>
    <row r="676" spans="1:2">
      <c r="A676" s="27">
        <v>0</v>
      </c>
      <c r="B676" s="27">
        <v>0</v>
      </c>
    </row>
    <row r="677" spans="1:2">
      <c r="A677" s="27">
        <v>0</v>
      </c>
      <c r="B677" s="27">
        <v>0</v>
      </c>
    </row>
    <row r="678" spans="1:2">
      <c r="A678" s="27">
        <v>0</v>
      </c>
      <c r="B678" s="27">
        <v>0</v>
      </c>
    </row>
    <row r="679" spans="1:2">
      <c r="A679" s="27">
        <v>0</v>
      </c>
      <c r="B679" s="27">
        <v>0</v>
      </c>
    </row>
    <row r="680" spans="1:2">
      <c r="A680" s="27">
        <v>0</v>
      </c>
      <c r="B680" s="27">
        <v>0</v>
      </c>
    </row>
    <row r="681" spans="1:2">
      <c r="A681" s="27">
        <v>0</v>
      </c>
      <c r="B681" s="27">
        <v>0</v>
      </c>
    </row>
    <row r="682" spans="1:2">
      <c r="A682" s="27">
        <v>0</v>
      </c>
      <c r="B682" s="27">
        <v>0</v>
      </c>
    </row>
    <row r="683" spans="1:2">
      <c r="A683" s="27">
        <v>0</v>
      </c>
      <c r="B683" s="27">
        <v>0</v>
      </c>
    </row>
    <row r="684" spans="1:2">
      <c r="A684" s="27">
        <v>0</v>
      </c>
      <c r="B684" s="27">
        <v>0</v>
      </c>
    </row>
    <row r="685" spans="1:2">
      <c r="A685" s="27">
        <v>0</v>
      </c>
      <c r="B685" s="27">
        <v>0</v>
      </c>
    </row>
    <row r="686" spans="1:2">
      <c r="A686" s="27">
        <v>0</v>
      </c>
      <c r="B686" s="27">
        <v>0</v>
      </c>
    </row>
    <row r="687" spans="1:2">
      <c r="A687" s="27">
        <v>0</v>
      </c>
      <c r="B687" s="27">
        <v>0</v>
      </c>
    </row>
    <row r="688" spans="1:2">
      <c r="A688" s="27">
        <v>0</v>
      </c>
      <c r="B688" s="27">
        <v>0</v>
      </c>
    </row>
    <row r="689" spans="1:2">
      <c r="A689" s="27">
        <v>0</v>
      </c>
      <c r="B689" s="27">
        <v>0</v>
      </c>
    </row>
    <row r="690" spans="1:2">
      <c r="A690" s="27">
        <v>0</v>
      </c>
      <c r="B690" s="27">
        <v>0</v>
      </c>
    </row>
    <row r="691" spans="1:2">
      <c r="A691" s="27">
        <v>0</v>
      </c>
      <c r="B691" s="27">
        <v>0</v>
      </c>
    </row>
    <row r="692" spans="1:2">
      <c r="A692" s="27">
        <v>0</v>
      </c>
      <c r="B692" s="27">
        <v>1</v>
      </c>
    </row>
    <row r="693" spans="1:2">
      <c r="A693" s="27">
        <v>0</v>
      </c>
      <c r="B693" s="27">
        <v>0</v>
      </c>
    </row>
    <row r="694" spans="1:2">
      <c r="A694" s="27">
        <v>0</v>
      </c>
      <c r="B694" s="27">
        <v>0</v>
      </c>
    </row>
    <row r="695" spans="1:2">
      <c r="A695" s="27">
        <v>0</v>
      </c>
      <c r="B695" s="27">
        <v>0</v>
      </c>
    </row>
    <row r="696" spans="1:2">
      <c r="A696" s="27">
        <v>0</v>
      </c>
      <c r="B696" s="27">
        <v>0</v>
      </c>
    </row>
    <row r="697" spans="1:2">
      <c r="A697" s="27"/>
      <c r="B697" s="27">
        <v>0</v>
      </c>
    </row>
    <row r="698" spans="1:2">
      <c r="A698" s="27"/>
      <c r="B698" s="27">
        <v>0</v>
      </c>
    </row>
    <row r="699" spans="1:2">
      <c r="A699" s="27"/>
      <c r="B699" s="27">
        <v>0</v>
      </c>
    </row>
    <row r="700" spans="1:2">
      <c r="A700" s="27"/>
      <c r="B700" s="27">
        <v>0</v>
      </c>
    </row>
    <row r="701" spans="1:2">
      <c r="A701" s="27"/>
      <c r="B701" s="27">
        <v>0</v>
      </c>
    </row>
    <row r="702" spans="1:2">
      <c r="A702" s="27"/>
      <c r="B702" s="27">
        <v>0</v>
      </c>
    </row>
    <row r="703" spans="1:2">
      <c r="A703" s="27"/>
      <c r="B703" s="27">
        <v>0</v>
      </c>
    </row>
    <row r="704" spans="1:2">
      <c r="A704" s="27"/>
      <c r="B704" s="27">
        <v>0</v>
      </c>
    </row>
    <row r="705" spans="1:2">
      <c r="A705" s="27"/>
      <c r="B705" s="27">
        <v>0</v>
      </c>
    </row>
    <row r="706" spans="1:2">
      <c r="A706" s="27"/>
      <c r="B706" s="27">
        <v>0</v>
      </c>
    </row>
    <row r="707" spans="1:2">
      <c r="A707" s="27"/>
      <c r="B707" s="27">
        <v>0</v>
      </c>
    </row>
    <row r="708" spans="1:2">
      <c r="A708" s="27"/>
      <c r="B708" s="27">
        <v>0</v>
      </c>
    </row>
    <row r="709" spans="1:2">
      <c r="A709" s="27"/>
      <c r="B709" s="27">
        <v>1</v>
      </c>
    </row>
    <row r="710" spans="1:2">
      <c r="A710" s="27"/>
      <c r="B710" s="27">
        <v>0</v>
      </c>
    </row>
    <row r="711" spans="1:2">
      <c r="A711" s="27"/>
      <c r="B711" s="27">
        <v>0</v>
      </c>
    </row>
    <row r="712" spans="1:2">
      <c r="A712" s="27"/>
      <c r="B712" s="27">
        <v>0</v>
      </c>
    </row>
    <row r="713" spans="1:2">
      <c r="A713" s="27"/>
      <c r="B713" s="27">
        <v>0</v>
      </c>
    </row>
    <row r="714" spans="1:2">
      <c r="A714" s="27"/>
      <c r="B714" s="27">
        <v>0</v>
      </c>
    </row>
    <row r="715" spans="1:2">
      <c r="A715" s="27"/>
      <c r="B715" s="27">
        <v>0</v>
      </c>
    </row>
    <row r="716" spans="1:2">
      <c r="A716" s="27"/>
      <c r="B716" s="27">
        <v>0</v>
      </c>
    </row>
    <row r="717" spans="1:2">
      <c r="A717" s="27"/>
      <c r="B717" s="27">
        <v>0</v>
      </c>
    </row>
    <row r="718" spans="1:2">
      <c r="A718" s="27"/>
      <c r="B718" s="27">
        <v>0</v>
      </c>
    </row>
  </sheetData>
  <mergeCells count="4">
    <mergeCell ref="A1:C1"/>
    <mergeCell ref="F21:G21"/>
    <mergeCell ref="D22:I29"/>
    <mergeCell ref="F5:G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E8A5-25BB-4190-A802-0ECB3D8E1C29}">
  <dimension ref="A1:E23"/>
  <sheetViews>
    <sheetView workbookViewId="0">
      <selection activeCell="A25" sqref="A25"/>
    </sheetView>
  </sheetViews>
  <sheetFormatPr defaultRowHeight="14.4"/>
  <cols>
    <col min="1" max="1" width="28" bestFit="1" customWidth="1"/>
    <col min="2" max="2" width="7.21875" bestFit="1" customWidth="1"/>
    <col min="3" max="3" width="9.77734375" bestFit="1" customWidth="1"/>
    <col min="4" max="4" width="9.109375" bestFit="1" customWidth="1"/>
    <col min="5" max="5" width="23.6640625" bestFit="1" customWidth="1"/>
  </cols>
  <sheetData>
    <row r="1" spans="1:5">
      <c r="A1" s="14" t="s">
        <v>1476</v>
      </c>
      <c r="B1" s="14"/>
      <c r="C1" s="14"/>
      <c r="D1" s="14"/>
      <c r="E1" s="14"/>
    </row>
    <row r="2" spans="1:5">
      <c r="A2" s="14"/>
      <c r="B2" s="14"/>
      <c r="C2" s="14"/>
      <c r="D2" s="14"/>
      <c r="E2" s="14"/>
    </row>
    <row r="6" spans="1:5">
      <c r="A6" s="15" t="s">
        <v>1477</v>
      </c>
      <c r="B6" s="15" t="s">
        <v>17</v>
      </c>
      <c r="C6" s="15" t="s">
        <v>723</v>
      </c>
      <c r="D6" s="15" t="s">
        <v>1478</v>
      </c>
      <c r="E6" s="15" t="s">
        <v>1479</v>
      </c>
    </row>
    <row r="7" spans="1:5">
      <c r="A7" s="16" t="s">
        <v>1480</v>
      </c>
      <c r="B7" s="17">
        <v>0</v>
      </c>
      <c r="C7" s="17">
        <v>4.1999999999999997E-3</v>
      </c>
      <c r="D7" s="18" t="s">
        <v>1481</v>
      </c>
      <c r="E7" s="19" t="s">
        <v>1482</v>
      </c>
    </row>
    <row r="8" spans="1:5">
      <c r="A8" s="16" t="s">
        <v>1483</v>
      </c>
      <c r="B8" s="17">
        <v>0.1472</v>
      </c>
      <c r="C8" s="17">
        <v>0.24759999999999999</v>
      </c>
      <c r="D8" s="16" t="s">
        <v>1484</v>
      </c>
      <c r="E8" s="19" t="s">
        <v>1485</v>
      </c>
    </row>
    <row r="9" spans="1:5">
      <c r="A9" s="20" t="s">
        <v>1486</v>
      </c>
      <c r="B9" s="19">
        <v>8.86</v>
      </c>
      <c r="C9" s="19">
        <v>6.4</v>
      </c>
      <c r="D9" s="21" t="s">
        <v>1487</v>
      </c>
      <c r="E9" s="19" t="s">
        <v>1488</v>
      </c>
    </row>
    <row r="10" spans="1:5">
      <c r="A10" s="20" t="s">
        <v>1489</v>
      </c>
      <c r="B10" s="19">
        <v>57.03</v>
      </c>
      <c r="C10" s="19">
        <v>62.93</v>
      </c>
      <c r="D10" s="21" t="s">
        <v>1487</v>
      </c>
      <c r="E10" s="19" t="s">
        <v>1490</v>
      </c>
    </row>
    <row r="11" spans="1:5">
      <c r="A11" s="16" t="s">
        <v>1491</v>
      </c>
      <c r="B11" s="19">
        <v>1630.1</v>
      </c>
      <c r="C11" s="19">
        <v>770.41</v>
      </c>
      <c r="D11" s="16" t="s">
        <v>1484</v>
      </c>
      <c r="E11" s="19" t="s">
        <v>1492</v>
      </c>
    </row>
    <row r="15" spans="1:5">
      <c r="A15" s="22" t="s">
        <v>1493</v>
      </c>
      <c r="B15" s="23"/>
      <c r="C15" s="23"/>
      <c r="D15" s="23"/>
      <c r="E15" s="23"/>
    </row>
    <row r="16" spans="1:5">
      <c r="A16" s="23"/>
      <c r="B16" s="23"/>
      <c r="C16" s="23"/>
      <c r="D16" s="23"/>
      <c r="E16" s="23"/>
    </row>
    <row r="17" spans="1:5">
      <c r="A17" s="23"/>
      <c r="B17" s="23"/>
      <c r="C17" s="23"/>
      <c r="D17" s="23"/>
      <c r="E17" s="23"/>
    </row>
    <row r="18" spans="1:5">
      <c r="A18" s="23"/>
      <c r="B18" s="23"/>
      <c r="C18" s="23"/>
      <c r="D18" s="23"/>
      <c r="E18" s="23"/>
    </row>
    <row r="19" spans="1:5">
      <c r="A19" s="23"/>
      <c r="B19" s="23"/>
      <c r="C19" s="23"/>
      <c r="D19" s="23"/>
      <c r="E19" s="23"/>
    </row>
    <row r="20" spans="1:5">
      <c r="A20" s="23"/>
      <c r="B20" s="23"/>
      <c r="C20" s="23"/>
      <c r="D20" s="23"/>
      <c r="E20" s="23"/>
    </row>
    <row r="21" spans="1:5">
      <c r="A21" s="23"/>
      <c r="B21" s="23"/>
      <c r="C21" s="23"/>
      <c r="D21" s="23"/>
      <c r="E21" s="23"/>
    </row>
    <row r="22" spans="1:5">
      <c r="A22" s="23"/>
      <c r="B22" s="23"/>
      <c r="C22" s="23"/>
      <c r="D22" s="23"/>
      <c r="E22" s="23"/>
    </row>
    <row r="23" spans="1:5">
      <c r="A23" s="23"/>
      <c r="B23" s="23"/>
      <c r="C23" s="23"/>
      <c r="D23" s="23"/>
      <c r="E23" s="23"/>
    </row>
  </sheetData>
  <mergeCells count="2">
    <mergeCell ref="A1:E2"/>
    <mergeCell ref="A15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Data_Validation</vt:lpstr>
      <vt:lpstr>Revenue_check</vt:lpstr>
      <vt:lpstr>Experiment_Segments</vt:lpstr>
      <vt:lpstr>Cleaned_Data</vt:lpstr>
      <vt:lpstr>Raw_Data</vt:lpstr>
      <vt:lpstr>hypothesis_test_output</vt:lpstr>
      <vt:lpstr>hypothesis_test_data</vt:lpstr>
      <vt:lpstr>Guardrail_Analysis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2026-06-25T06:12:22Z</dcterms:created>
  <dcterms:modified xsi:type="dcterms:W3CDTF">2026-06-26T04:04:09Z</dcterms:modified>
</cp:coreProperties>
</file>